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an.chen\Desktop\點檢表\Sprint5\"/>
    </mc:Choice>
  </mc:AlternateContent>
  <bookViews>
    <workbookView xWindow="0" yWindow="0" windowWidth="15330" windowHeight="5235" activeTab="2"/>
  </bookViews>
  <sheets>
    <sheet name="Home" sheetId="1" r:id="rId1"/>
    <sheet name="Sheet1" sheetId="2" r:id="rId2"/>
    <sheet name="Sheet2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3" i="3" l="1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E70" i="2" l="1"/>
  <c r="F70" i="2"/>
  <c r="E69" i="2"/>
  <c r="F69" i="2"/>
  <c r="E68" i="2"/>
  <c r="F68" i="2"/>
  <c r="E67" i="2"/>
  <c r="F67" i="2"/>
  <c r="E66" i="2"/>
  <c r="F66" i="2"/>
  <c r="E65" i="2"/>
  <c r="F65" i="2"/>
  <c r="E64" i="2"/>
  <c r="F64" i="2"/>
  <c r="E63" i="2"/>
  <c r="F63" i="2"/>
  <c r="E62" i="2"/>
  <c r="F62" i="2"/>
  <c r="E61" i="2"/>
  <c r="F61" i="2"/>
  <c r="E60" i="2"/>
  <c r="F60" i="2"/>
  <c r="E59" i="2"/>
  <c r="F59" i="2"/>
  <c r="E58" i="2"/>
  <c r="F58" i="2"/>
  <c r="E57" i="2"/>
  <c r="F57" i="2"/>
  <c r="E56" i="2"/>
  <c r="F56" i="2"/>
  <c r="E55" i="2"/>
  <c r="F55" i="2"/>
  <c r="E54" i="2"/>
  <c r="F54" i="2"/>
  <c r="E53" i="2"/>
  <c r="F53" i="2"/>
  <c r="E52" i="2"/>
  <c r="F52" i="2"/>
  <c r="E51" i="2"/>
  <c r="F51" i="2"/>
  <c r="E50" i="2"/>
  <c r="F50" i="2"/>
  <c r="E49" i="2"/>
  <c r="F49" i="2"/>
  <c r="E48" i="2"/>
  <c r="F48" i="2"/>
  <c r="E47" i="2"/>
  <c r="F47" i="2"/>
  <c r="E46" i="2"/>
  <c r="F46" i="2"/>
  <c r="E45" i="2"/>
  <c r="F45" i="2"/>
  <c r="E44" i="2"/>
  <c r="F44" i="2"/>
  <c r="E43" i="2"/>
  <c r="F43" i="2"/>
  <c r="E42" i="2"/>
  <c r="F42" i="2"/>
  <c r="E41" i="2"/>
  <c r="F41" i="2"/>
  <c r="E40" i="2"/>
  <c r="F40" i="2"/>
  <c r="E39" i="2"/>
  <c r="F39" i="2"/>
  <c r="E38" i="2"/>
  <c r="F38" i="2"/>
  <c r="E37" i="2"/>
  <c r="F37" i="2"/>
  <c r="E36" i="2"/>
  <c r="F36" i="2"/>
  <c r="E35" i="2"/>
  <c r="F35" i="2"/>
  <c r="E34" i="2"/>
  <c r="F34" i="2"/>
  <c r="E33" i="2"/>
  <c r="F33" i="2"/>
  <c r="E32" i="2"/>
  <c r="F32" i="2"/>
  <c r="E31" i="2"/>
  <c r="F31" i="2"/>
  <c r="E30" i="2"/>
  <c r="F30" i="2"/>
  <c r="E29" i="2"/>
  <c r="F29" i="2"/>
  <c r="E28" i="2"/>
  <c r="F28" i="2"/>
  <c r="E27" i="2"/>
  <c r="F27" i="2"/>
  <c r="E26" i="2"/>
  <c r="F26" i="2"/>
  <c r="E25" i="2"/>
  <c r="F25" i="2"/>
  <c r="E24" i="2"/>
  <c r="F24" i="2"/>
  <c r="E23" i="2"/>
  <c r="F23" i="2"/>
  <c r="E22" i="2"/>
  <c r="F22" i="2"/>
  <c r="E21" i="2"/>
  <c r="F21" i="2"/>
  <c r="E20" i="2"/>
  <c r="F20" i="2"/>
  <c r="E19" i="2"/>
  <c r="F19" i="2"/>
  <c r="E18" i="2"/>
  <c r="F18" i="2"/>
  <c r="E17" i="2"/>
  <c r="F17" i="2"/>
  <c r="E16" i="2"/>
  <c r="F16" i="2"/>
  <c r="E15" i="2"/>
  <c r="F15" i="2"/>
  <c r="E14" i="2"/>
  <c r="F14" i="2"/>
  <c r="E13" i="2"/>
  <c r="F13" i="2"/>
  <c r="E12" i="2"/>
  <c r="F12" i="2"/>
  <c r="E11" i="2"/>
  <c r="F11" i="2"/>
  <c r="E10" i="2"/>
  <c r="F10" i="2"/>
  <c r="E9" i="2"/>
  <c r="F9" i="2"/>
  <c r="E8" i="2"/>
  <c r="F8" i="2"/>
  <c r="E7" i="2"/>
  <c r="F7" i="2"/>
  <c r="E6" i="2"/>
  <c r="F6" i="2"/>
  <c r="E5" i="2"/>
  <c r="F5" i="2"/>
  <c r="E4" i="2"/>
  <c r="F4" i="2"/>
  <c r="E3" i="2"/>
  <c r="F3" i="2"/>
</calcChain>
</file>

<file path=xl/sharedStrings.xml><?xml version="1.0" encoding="utf-8"?>
<sst xmlns="http://schemas.openxmlformats.org/spreadsheetml/2006/main" count="495" uniqueCount="242">
  <si>
    <t>Ngày 
khởi công</t>
  </si>
  <si>
    <t>Ngày 
tìm kiếm</t>
  </si>
  <si>
    <t>Thời gian làm
 hoàn thành</t>
  </si>
  <si>
    <t>Thời gian làm
khởi công</t>
  </si>
  <si>
    <t>Ngày làm
 hoàn thành</t>
  </si>
  <si>
    <t>Chuyền</t>
  </si>
  <si>
    <t>Mã giày (Model)</t>
  </si>
  <si>
    <t>Tên giày</t>
  </si>
  <si>
    <r>
      <t>(yyyy/mm/dd)
(n</t>
    </r>
    <r>
      <rPr>
        <sz val="11"/>
        <color theme="5" tint="-0.249977111117893"/>
        <rFont val="新細明體"/>
        <family val="2"/>
        <scheme val="minor"/>
      </rPr>
      <t>ă</t>
    </r>
    <r>
      <rPr>
        <sz val="11"/>
        <color theme="5" tint="-0.249977111117893"/>
        <rFont val="新細明體"/>
        <family val="2"/>
        <scheme val="minor"/>
      </rPr>
      <t>m/tháng/ngày)</t>
    </r>
    <phoneticPr fontId="1" type="noConversion"/>
  </si>
  <si>
    <t>棟別
Tòa nhà</t>
    <phoneticPr fontId="1" type="noConversion"/>
  </si>
  <si>
    <t xml:space="preserve">查詢派工日期區間
Nhập khoảng thời gian khởi công </t>
    <phoneticPr fontId="1" type="noConversion"/>
  </si>
  <si>
    <r>
      <t xml:space="preserve">查詢派工線別及鞋型
Tìm kiếm những chuyền </t>
    </r>
    <r>
      <rPr>
        <sz val="14"/>
        <color rgb="FF0070C0"/>
        <rFont val="新細明體"/>
        <family val="2"/>
        <charset val="136"/>
        <scheme val="minor"/>
      </rPr>
      <t>đ</t>
    </r>
    <r>
      <rPr>
        <sz val="14"/>
        <color rgb="FF0070C0"/>
        <rFont val="新細明體"/>
        <family val="2"/>
        <scheme val="minor"/>
      </rPr>
      <t>ã khởi công và hoàn thành</t>
    </r>
    <phoneticPr fontId="1" type="noConversion"/>
  </si>
  <si>
    <t>Date</t>
    <phoneticPr fontId="1" type="noConversion"/>
  </si>
  <si>
    <t>出勤率%</t>
    <phoneticPr fontId="1" type="noConversion"/>
  </si>
  <si>
    <t>缺勤率%</t>
    <phoneticPr fontId="1" type="noConversion"/>
  </si>
  <si>
    <t>應到人數</t>
    <phoneticPr fontId="1" type="noConversion"/>
  </si>
  <si>
    <t>nhóm</t>
    <phoneticPr fontId="1" type="noConversion"/>
  </si>
  <si>
    <t>chuyền</t>
  </si>
  <si>
    <t>tòa nhà</t>
    <phoneticPr fontId="1" type="noConversion"/>
  </si>
  <si>
    <t>bộ phận</t>
    <phoneticPr fontId="1" type="noConversion"/>
  </si>
  <si>
    <t>Vắng mặt</t>
    <phoneticPr fontId="1" type="noConversion"/>
  </si>
  <si>
    <t>Đi làm</t>
  </si>
  <si>
    <t>假日</t>
    <phoneticPr fontId="1" type="noConversion"/>
  </si>
  <si>
    <t>O1A</t>
  </si>
  <si>
    <t>O1B</t>
  </si>
  <si>
    <t>O2A</t>
  </si>
  <si>
    <t>O2B</t>
  </si>
  <si>
    <t>O3A</t>
  </si>
  <si>
    <t>O3B</t>
  </si>
  <si>
    <t>E1</t>
  </si>
  <si>
    <t>E2</t>
  </si>
  <si>
    <t>E3</t>
  </si>
  <si>
    <t>E4</t>
  </si>
  <si>
    <t>E5</t>
  </si>
  <si>
    <t>E6</t>
  </si>
  <si>
    <t>E7</t>
  </si>
  <si>
    <t>P1</t>
  </si>
  <si>
    <t>P2</t>
  </si>
  <si>
    <t>P3</t>
  </si>
  <si>
    <t>P4</t>
  </si>
  <si>
    <t>P5</t>
  </si>
  <si>
    <t>P6</t>
  </si>
  <si>
    <t>P7</t>
  </si>
  <si>
    <t>J1</t>
  </si>
  <si>
    <t>J2</t>
  </si>
  <si>
    <t>J3</t>
  </si>
  <si>
    <t>L1A</t>
  </si>
  <si>
    <t>L1B</t>
  </si>
  <si>
    <t>L2A</t>
  </si>
  <si>
    <t>L2B</t>
  </si>
  <si>
    <t>L3A</t>
  </si>
  <si>
    <t>L3B</t>
  </si>
  <si>
    <t>L4A</t>
  </si>
  <si>
    <t>L4B</t>
  </si>
  <si>
    <t>L5A</t>
  </si>
  <si>
    <t>L5B</t>
  </si>
  <si>
    <t>L6A</t>
  </si>
  <si>
    <t>L6B</t>
  </si>
  <si>
    <t>M1A</t>
  </si>
  <si>
    <t>M1B</t>
  </si>
  <si>
    <t>M2A</t>
  </si>
  <si>
    <t>M2B</t>
  </si>
  <si>
    <t>M3A</t>
  </si>
  <si>
    <t>M3B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</si>
  <si>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</si>
  <si>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</si>
  <si>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</si>
  <si>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</si>
  <si>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</si>
  <si>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</si>
  <si>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</si>
  <si>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</si>
  <si>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</si>
  <si>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</si>
  <si>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</si>
  <si>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產線停工日期</t>
    <phoneticPr fontId="1" type="noConversion"/>
  </si>
  <si>
    <t>06/06,06/13</t>
    <phoneticPr fontId="1" type="noConversion"/>
  </si>
  <si>
    <t>06/04,06/05,06/06,06/09,06/10,06/11,06/12,06/13</t>
    <phoneticPr fontId="1" type="noConversion"/>
  </si>
  <si>
    <t>06/01,06/02,06/03,06/04,06/05,06/06,06/13,06/19,06/20</t>
    <phoneticPr fontId="1" type="noConversion"/>
  </si>
  <si>
    <t>06/06,06/13,06/20</t>
    <phoneticPr fontId="1" type="noConversion"/>
  </si>
  <si>
    <t>06/13,06/20</t>
    <phoneticPr fontId="1" type="noConversion"/>
  </si>
  <si>
    <t>06/06,06/13,06/18,06/20</t>
    <phoneticPr fontId="1" type="noConversion"/>
  </si>
  <si>
    <t>06/04,06/05,06/06,06/11,06/12,06/13,06/15,06/16,06/17,06/18,06/19,06/20</t>
    <phoneticPr fontId="1" type="noConversion"/>
  </si>
  <si>
    <t>06/06</t>
    <phoneticPr fontId="1" type="noConversion"/>
  </si>
  <si>
    <t>06/06,06/13,06/20,06/22</t>
    <phoneticPr fontId="1" type="noConversion"/>
  </si>
  <si>
    <t>06/06,06/10,06/11,06/12,06/13,06/17,06/18,06/19,06/20,06/22</t>
    <phoneticPr fontId="1" type="noConversion"/>
  </si>
  <si>
    <t>06/01,06/02,06/03,06/04,06/05,06/06,06/08,06/09,06/10,06/11,06/12,06/13,06/15,06/16,06/17,06/18,06/19,06/20,06/22,06/23,06/24,06/25,06/26</t>
    <phoneticPr fontId="1" type="noConversion"/>
  </si>
  <si>
    <t>06/01,06/02,06/03,06/04,06/05,06/06,06/08,06/09,06/10,06/11,06/12,06/13,06/15,06/16,06/17,06/18,06/19,06/20,06/22,06/23,06/24,06/25,06/26</t>
    <phoneticPr fontId="1" type="noConversion"/>
  </si>
  <si>
    <t>06/06,06/13,06/20,06/23,06/26</t>
    <phoneticPr fontId="1" type="noConversion"/>
  </si>
  <si>
    <t>06/06,06/13,06/19,06/20,06/26</t>
    <phoneticPr fontId="1" type="noConversion"/>
  </si>
  <si>
    <t>06/06,06/13,06/20,06/26</t>
    <phoneticPr fontId="1" type="noConversion"/>
  </si>
  <si>
    <t>06/06,06/13,06/20,06/24,06/25,06/26</t>
    <phoneticPr fontId="1" type="noConversion"/>
  </si>
  <si>
    <t>06/06,06/13,06/17,06/18,06/19,06/20,06/25,06/26</t>
    <phoneticPr fontId="1" type="noConversion"/>
  </si>
  <si>
    <t>06/06,06/13,06/16,06/19,06/20,06/26</t>
    <phoneticPr fontId="1" type="noConversion"/>
  </si>
  <si>
    <t>06/04,06/05,06/06,06/09,06/10,06/11,06/12,06/13,06/18,06/19,06/20,06/22,06/26</t>
    <phoneticPr fontId="1" type="noConversion"/>
  </si>
  <si>
    <t>06/05,06/06,06/12,06/13,06/16,06/17,06/18,06/19,06/20,06/22,06/23,06/24,06/25,06/26</t>
    <phoneticPr fontId="1" type="noConversion"/>
  </si>
  <si>
    <t>06/05,06/06,06/12,06/13,06/19,06/20,06/22,06/26</t>
    <phoneticPr fontId="1" type="noConversion"/>
  </si>
  <si>
    <t>06/05,06/06,06/09,06/12,06/13,06/17,06/18,06/19,06/20,06/22,06/23,06/24,06/25,06/26</t>
    <phoneticPr fontId="1" type="noConversion"/>
  </si>
  <si>
    <t>06/01,06/02,06/03,06/04,06/05,06/06,06/08,06/10,06/11,06/12,06/13,06/15,06/16,06/19,06/20,06/22,06/25,06/26</t>
    <phoneticPr fontId="1" type="noConversion"/>
  </si>
  <si>
    <t>R1</t>
  </si>
  <si>
    <t>R10</t>
  </si>
  <si>
    <t>R11</t>
  </si>
  <si>
    <t>R12</t>
  </si>
  <si>
    <t>R13</t>
  </si>
  <si>
    <t>R14</t>
  </si>
  <si>
    <t>R15</t>
  </si>
  <si>
    <t>R16</t>
  </si>
  <si>
    <t>R2</t>
  </si>
  <si>
    <t>R3</t>
  </si>
  <si>
    <t>R4</t>
  </si>
  <si>
    <t>R5</t>
  </si>
  <si>
    <t>R6</t>
  </si>
  <si>
    <t>R7</t>
  </si>
  <si>
    <t>R8</t>
  </si>
  <si>
    <t>R9</t>
  </si>
  <si>
    <t>04/02,06/27,06/29,06/30</t>
    <phoneticPr fontId="1" type="noConversion"/>
  </si>
  <si>
    <r>
      <t>số ng</t>
    </r>
    <r>
      <rPr>
        <sz val="11"/>
        <color theme="1"/>
        <rFont val="新細明體"/>
        <family val="2"/>
        <scheme val="minor"/>
      </rPr>
      <t>ư</t>
    </r>
    <r>
      <rPr>
        <sz val="11"/>
        <color theme="1"/>
        <rFont val="新細明體"/>
        <family val="2"/>
        <scheme val="minor"/>
      </rPr>
      <t>ời thực tế</t>
    </r>
  </si>
  <si>
    <r>
      <t xml:space="preserve">giai </t>
    </r>
    <r>
      <rPr>
        <sz val="11"/>
        <color theme="1"/>
        <rFont val="新細明體"/>
        <family val="2"/>
        <charset val="136"/>
        <scheme val="minor"/>
      </rPr>
      <t>đ</t>
    </r>
    <r>
      <rPr>
        <sz val="11"/>
        <color theme="1"/>
        <rFont val="新細明體"/>
        <family val="2"/>
        <scheme val="minor"/>
      </rPr>
      <t>oạn</t>
    </r>
  </si>
  <si>
    <t>sxuat IE</t>
  </si>
  <si>
    <r>
      <t xml:space="preserve">số cn </t>
    </r>
    <r>
      <rPr>
        <sz val="11"/>
        <color theme="1"/>
        <rFont val="新細明體"/>
        <family val="2"/>
        <charset val="136"/>
        <scheme val="minor"/>
      </rPr>
      <t>đ</t>
    </r>
    <r>
      <rPr>
        <sz val="11"/>
        <color theme="1"/>
        <rFont val="新細明體"/>
        <family val="2"/>
        <scheme val="minor"/>
      </rPr>
      <t>ã sxep</t>
    </r>
  </si>
  <si>
    <r>
      <t>số l</t>
    </r>
    <r>
      <rPr>
        <sz val="11"/>
        <color theme="1"/>
        <rFont val="新細明體"/>
        <family val="2"/>
        <scheme val="minor"/>
      </rPr>
      <t>ư</t>
    </r>
    <r>
      <rPr>
        <sz val="11"/>
        <color theme="1"/>
        <rFont val="新細明體"/>
        <family val="2"/>
        <scheme val="minor"/>
      </rPr>
      <t>ợng khác biệt</t>
    </r>
  </si>
  <si>
    <t>Release Date: 2021-02-04</t>
    <phoneticPr fontId="1" type="noConversion"/>
  </si>
  <si>
    <t>未操作點檢表統計表</t>
  </si>
  <si>
    <t xml:space="preserve">           Date_x000D_
Cell</t>
  </si>
  <si>
    <t>累計</t>
  </si>
  <si>
    <t>Total</t>
  </si>
  <si>
    <t>查詢日期</t>
  </si>
  <si>
    <t>派工日期</t>
  </si>
  <si>
    <t>派工時間</t>
  </si>
  <si>
    <t>完成日期</t>
  </si>
  <si>
    <t>完成時間</t>
  </si>
  <si>
    <t>線別</t>
  </si>
  <si>
    <t>鞋型Model No</t>
  </si>
  <si>
    <t>鞋名Model Name</t>
  </si>
  <si>
    <t>實到人數</t>
  </si>
  <si>
    <t>階段</t>
  </si>
  <si>
    <t>生產IE</t>
  </si>
  <si>
    <t>派工人數</t>
  </si>
  <si>
    <t>未派工</t>
  </si>
  <si>
    <t>số người thực tế</t>
  </si>
  <si>
    <t>giai đoạn</t>
  </si>
  <si>
    <t>số cn đã sxep</t>
  </si>
  <si>
    <t>số lượng khác biệt</t>
  </si>
  <si>
    <t>2021-02-03</t>
  </si>
  <si>
    <t>09:58:24</t>
  </si>
  <si>
    <t>09:58:55</t>
  </si>
  <si>
    <t>LWL99</t>
  </si>
  <si>
    <t>ZX 2K BOOST</t>
  </si>
  <si>
    <t>PT</t>
  </si>
  <si>
    <t>10:01:59</t>
  </si>
  <si>
    <t>10:02:58</t>
  </si>
  <si>
    <t>LQC92</t>
  </si>
  <si>
    <t>NMD_R1.V2 J</t>
  </si>
  <si>
    <t>SMU</t>
  </si>
  <si>
    <t>08:24:07</t>
  </si>
  <si>
    <t>08:25:23</t>
  </si>
  <si>
    <t>LES39</t>
  </si>
  <si>
    <t>ZX 8000 LEGO</t>
  </si>
  <si>
    <t>08:20:22</t>
  </si>
  <si>
    <t>08:21:38</t>
  </si>
  <si>
    <t>LKZ56</t>
  </si>
  <si>
    <t>ZX 2K BOOST PURE J</t>
  </si>
  <si>
    <t>08:15:21</t>
  </si>
  <si>
    <t>08:16:38</t>
  </si>
  <si>
    <t>LST15</t>
  </si>
  <si>
    <t>ZX 8000 J LEGO</t>
  </si>
  <si>
    <t>11:35:31</t>
  </si>
  <si>
    <t>11:36:17</t>
  </si>
  <si>
    <t>LGJ87</t>
  </si>
  <si>
    <t>ZX 2K 4D</t>
  </si>
  <si>
    <t>MP1</t>
  </si>
  <si>
    <t>11:36:36</t>
  </si>
  <si>
    <t>11:38:06</t>
  </si>
  <si>
    <t>KYU20</t>
  </si>
  <si>
    <t>11:38:07</t>
  </si>
  <si>
    <t>11:38:45</t>
  </si>
  <si>
    <t>11:40:52</t>
  </si>
  <si>
    <t>11:59:18</t>
  </si>
  <si>
    <t>12:00:13</t>
  </si>
  <si>
    <t>EBG33</t>
  </si>
  <si>
    <t>BROOMFIELD</t>
  </si>
  <si>
    <t>12:00:28</t>
  </si>
  <si>
    <t>12:01:16</t>
  </si>
  <si>
    <t>11:56:11</t>
  </si>
  <si>
    <t>11:57:31</t>
  </si>
  <si>
    <t>LDX65</t>
  </si>
  <si>
    <t>CG ZX 2K PHORMAR</t>
  </si>
  <si>
    <t>11:57:59</t>
  </si>
  <si>
    <t>11:59:01</t>
  </si>
  <si>
    <t>12:01:38</t>
  </si>
  <si>
    <t>12:02:27</t>
  </si>
  <si>
    <t>LSO52</t>
  </si>
  <si>
    <t>ZX 2K BOOST PURE</t>
  </si>
  <si>
    <t>MCS</t>
  </si>
  <si>
    <t>12:02:48</t>
  </si>
  <si>
    <t>12:03:31</t>
  </si>
  <si>
    <t>17:51:46</t>
  </si>
  <si>
    <t>17:52:33</t>
  </si>
  <si>
    <t>71799</t>
  </si>
  <si>
    <t>CORD</t>
  </si>
  <si>
    <t>17:53:09</t>
  </si>
  <si>
    <t>17:54:00</t>
  </si>
  <si>
    <t>17:51:00</t>
  </si>
  <si>
    <t>17:51:24</t>
  </si>
  <si>
    <t>LTA41</t>
  </si>
  <si>
    <t>NMD_R1.V2</t>
  </si>
  <si>
    <t>17:49:41</t>
  </si>
  <si>
    <t>17:50:06</t>
  </si>
  <si>
    <t>17:55:16</t>
  </si>
  <si>
    <t>17:55:59</t>
  </si>
  <si>
    <t>LDP99</t>
  </si>
  <si>
    <t>ZX 2K BOOST W</t>
  </si>
  <si>
    <t>17:56:16</t>
  </si>
  <si>
    <t>17:57:02</t>
  </si>
  <si>
    <t>17:57:15</t>
  </si>
  <si>
    <t>17:57:46</t>
  </si>
  <si>
    <t>LQC56</t>
  </si>
  <si>
    <t>17:59:50</t>
  </si>
  <si>
    <t>18:02:17</t>
  </si>
  <si>
    <t>12:44:27</t>
  </si>
  <si>
    <t>12:45:19</t>
  </si>
  <si>
    <t>12:46:17</t>
  </si>
  <si>
    <t>12:47:07</t>
  </si>
  <si>
    <t>12:47:46</t>
  </si>
  <si>
    <t>12:48:09</t>
  </si>
  <si>
    <t>WF027</t>
  </si>
  <si>
    <t>4D FUSIO</t>
  </si>
  <si>
    <t>12:48:30</t>
  </si>
  <si>
    <t>12:48:50</t>
  </si>
  <si>
    <t>11:54:12</t>
  </si>
  <si>
    <t>11:54:39</t>
  </si>
  <si>
    <t>LTO69</t>
  </si>
  <si>
    <t>NMD_R1</t>
  </si>
  <si>
    <t>12:42:34</t>
  </si>
  <si>
    <t>12:43:01</t>
  </si>
  <si>
    <t>09:36:04</t>
  </si>
  <si>
    <t>09:37:02</t>
  </si>
  <si>
    <t>LES41</t>
  </si>
  <si>
    <t>09:39:12</t>
  </si>
  <si>
    <t>09:39:58</t>
  </si>
  <si>
    <t>LWG35</t>
  </si>
  <si>
    <t>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</si>
</sst>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yyyy/mm/dd"/>
    <numFmt numFmtId="177" formatCode="yyyy\-mm\-dd"/>
    <numFmt numFmtId="178" formatCode="mm\-dd"/>
  </numFmts>
  <fonts count="16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4"/>
      <color rgb="FF0070C0"/>
      <name val="新細明體"/>
      <family val="2"/>
      <scheme val="minor"/>
    </font>
    <font>
      <sz val="14"/>
      <color rgb="FF0070C0"/>
      <name val="新細明體"/>
      <family val="1"/>
      <charset val="136"/>
      <scheme val="minor"/>
    </font>
    <font>
      <sz val="14"/>
      <color theme="1"/>
      <name val="新細明體"/>
      <family val="2"/>
      <scheme val="minor"/>
    </font>
    <font>
      <sz val="11"/>
      <color theme="5" tint="-0.249977111117893"/>
      <name val="新細明體"/>
      <family val="2"/>
      <scheme val="minor"/>
    </font>
    <font>
      <b/>
      <sz val="12"/>
      <color rgb="FF000000"/>
      <name val="細明體"/>
      <family val="3"/>
      <charset val="136"/>
    </font>
    <font>
      <sz val="12"/>
      <color theme="1"/>
      <name val="Arial"/>
      <family val="2"/>
    </font>
    <font>
      <sz val="14"/>
      <color rgb="FF0070C0"/>
      <name val="新細明體"/>
      <family val="2"/>
      <charset val="136"/>
      <scheme val="minor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b/>
      <sz val="12"/>
      <color rgb="FF000000"/>
      <name val="新細明體"/>
      <family val="1"/>
      <charset val="136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6"/>
      <color theme="1"/>
      <name val="標楷體"/>
      <family val="4"/>
      <charset val="136"/>
    </font>
    <font>
      <sz val="11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76" fontId="7" fillId="2" borderId="1" xfId="0" applyNumberFormat="1" applyFont="1" applyFill="1" applyBorder="1" applyAlignment="1">
      <alignment horizontal="center" vertical="center" wrapText="1"/>
    </xf>
    <xf numFmtId="177" fontId="4" fillId="0" borderId="0" xfId="0" applyNumberFormat="1" applyFont="1" applyFill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77" fontId="0" fillId="0" borderId="0" xfId="0" applyNumberFormat="1" applyAlignment="1">
      <alignment horizontal="right" vertical="center" wrapText="1"/>
    </xf>
    <xf numFmtId="49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77" fontId="0" fillId="4" borderId="0" xfId="0" applyNumberFormat="1" applyFill="1" applyAlignment="1">
      <alignment horizontal="right" vertical="center" wrapText="1"/>
    </xf>
    <xf numFmtId="178" fontId="0" fillId="0" borderId="0" xfId="0" applyNumberFormat="1"/>
    <xf numFmtId="0" fontId="0" fillId="0" borderId="0" xfId="0" applyAlignment="1">
      <alignment horizontal="center"/>
    </xf>
    <xf numFmtId="178" fontId="0" fillId="0" borderId="0" xfId="0" applyNumberFormat="1" applyAlignment="1">
      <alignment horizontal="center"/>
    </xf>
    <xf numFmtId="9" fontId="0" fillId="0" borderId="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41" fontId="0" fillId="0" borderId="0" xfId="0" applyNumberFormat="1"/>
    <xf numFmtId="177" fontId="2" fillId="0" borderId="2" xfId="0" applyNumberFormat="1" applyFont="1" applyFill="1" applyBorder="1" applyAlignment="1">
      <alignment horizontal="center" vertical="center" wrapText="1"/>
    </xf>
    <xf numFmtId="177" fontId="2" fillId="0" borderId="3" xfId="0" applyNumberFormat="1" applyFont="1" applyFill="1" applyBorder="1" applyAlignment="1">
      <alignment horizontal="center" vertical="center" wrapText="1"/>
    </xf>
    <xf numFmtId="177" fontId="2" fillId="0" borderId="4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1514475</xdr:colOff>
          <xdr:row>4</xdr:row>
          <xdr:rowOff>171450</xdr:rowOff>
        </xdr:from>
        <xdr:to>
          <xdr:col>1</xdr:col>
          <xdr:colOff>1495425</xdr:colOff>
          <xdr:row>8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派工查詢</a:t>
              </a:r>
            </a:p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Tìm kiếm khởi công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1524000</xdr:colOff>
          <xdr:row>10</xdr:row>
          <xdr:rowOff>0</xdr:rowOff>
        </xdr:from>
        <xdr:to>
          <xdr:col>1</xdr:col>
          <xdr:colOff>1495425</xdr:colOff>
          <xdr:row>13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出勤查詢</a:t>
              </a:r>
            </a:p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Tìm kiếm khởi công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1981200</xdr:colOff>
          <xdr:row>4</xdr:row>
          <xdr:rowOff>180975</xdr:rowOff>
        </xdr:from>
        <xdr:to>
          <xdr:col>3</xdr:col>
          <xdr:colOff>619125</xdr:colOff>
          <xdr:row>8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未操作統計表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1971675</xdr:colOff>
          <xdr:row>10</xdr:row>
          <xdr:rowOff>9525</xdr:rowOff>
        </xdr:from>
        <xdr:to>
          <xdr:col>3</xdr:col>
          <xdr:colOff>638175</xdr:colOff>
          <xdr:row>13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換人查詢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19050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Team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0</xdr:row>
          <xdr:rowOff>133350</xdr:rowOff>
        </xdr:from>
        <xdr:to>
          <xdr:col>15</xdr:col>
          <xdr:colOff>57150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Team Plus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07"/>
  <sheetViews>
    <sheetView workbookViewId="0">
      <selection activeCell="A3" sqref="A3"/>
    </sheetView>
  </sheetViews>
  <sheetFormatPr defaultRowHeight="15.75" x14ac:dyDescent="0.25"/>
  <cols>
    <col min="1" max="1" width="39.85546875" style="3" customWidth="1"/>
    <col min="2" max="2" width="27.42578125" style="2" customWidth="1"/>
    <col min="3" max="3" width="28.7109375" style="2" customWidth="1"/>
    <col min="4" max="4" width="17.42578125" style="2" customWidth="1"/>
    <col min="5" max="5" width="12.7109375" style="2" customWidth="1"/>
    <col min="6" max="6" width="9.140625" style="2"/>
    <col min="7" max="7" width="20.7109375" style="2" customWidth="1"/>
    <col min="8" max="8" width="30.7109375" style="2" customWidth="1"/>
  </cols>
  <sheetData>
    <row r="1" spans="1:4" ht="53.25" customHeight="1" x14ac:dyDescent="0.25">
      <c r="A1" s="26" t="s">
        <v>11</v>
      </c>
      <c r="B1" s="27"/>
      <c r="C1" s="28"/>
      <c r="D1" s="4"/>
    </row>
    <row r="2" spans="1:4" x14ac:dyDescent="0.25">
      <c r="A2" s="8" t="s">
        <v>121</v>
      </c>
    </row>
    <row r="3" spans="1:4" ht="53.25" customHeight="1" x14ac:dyDescent="0.25">
      <c r="A3" s="6" t="s">
        <v>10</v>
      </c>
      <c r="B3" s="5">
        <v>44230</v>
      </c>
      <c r="C3" s="5">
        <v>44230</v>
      </c>
      <c r="D3" s="1" t="s">
        <v>8</v>
      </c>
    </row>
    <row r="4" spans="1:4" ht="45.75" customHeight="1" x14ac:dyDescent="0.25">
      <c r="A4" s="7" t="s">
        <v>9</v>
      </c>
      <c r="B4" s="5"/>
    </row>
    <row r="28" spans="1:13" x14ac:dyDescent="0.25">
      <c r="A28" s="13" t="s">
        <v>22</v>
      </c>
      <c r="B28" s="14" t="s">
        <v>115</v>
      </c>
      <c r="C28" s="15"/>
      <c r="D28" s="16"/>
      <c r="E28" s="16"/>
      <c r="F28" s="16"/>
      <c r="G28" s="16"/>
    </row>
    <row r="30" spans="1:13" ht="31.5" x14ac:dyDescent="0.25">
      <c r="A30" s="8" t="s">
        <v>1</v>
      </c>
      <c r="B30" s="9" t="s">
        <v>0</v>
      </c>
      <c r="C30" s="9" t="s">
        <v>3</v>
      </c>
      <c r="D30" s="9" t="s">
        <v>4</v>
      </c>
      <c r="E30" s="9" t="s">
        <v>2</v>
      </c>
      <c r="F30" s="9" t="s">
        <v>5</v>
      </c>
      <c r="G30" s="9" t="s">
        <v>6</v>
      </c>
      <c r="H30" s="9" t="s">
        <v>7</v>
      </c>
      <c r="I30" s="2" t="s">
        <v>116</v>
      </c>
      <c r="J30" s="2" t="s">
        <v>117</v>
      </c>
      <c r="K30" t="s">
        <v>118</v>
      </c>
      <c r="L30" t="s">
        <v>119</v>
      </c>
      <c r="M30" s="2" t="s">
        <v>120</v>
      </c>
    </row>
    <row r="31" spans="1:13" ht="31.5" x14ac:dyDescent="0.25">
      <c r="A31" s="8" t="s">
        <v>12</v>
      </c>
      <c r="B31" s="9" t="s">
        <v>19</v>
      </c>
      <c r="C31" s="9" t="s">
        <v>18</v>
      </c>
      <c r="D31" s="11" t="s">
        <v>17</v>
      </c>
      <c r="E31" s="9" t="s">
        <v>16</v>
      </c>
      <c r="F31" s="9" t="s">
        <v>15</v>
      </c>
      <c r="G31" s="12" t="s">
        <v>21</v>
      </c>
      <c r="H31" s="9" t="s">
        <v>20</v>
      </c>
      <c r="I31" s="10" t="s">
        <v>13</v>
      </c>
      <c r="J31" s="10" t="s">
        <v>14</v>
      </c>
    </row>
    <row r="39" spans="1:2" x14ac:dyDescent="0.25">
      <c r="B39" s="18" t="s">
        <v>75</v>
      </c>
    </row>
    <row r="40" spans="1:2" x14ac:dyDescent="0.25">
      <c r="A40" s="13" t="s">
        <v>23</v>
      </c>
      <c r="B40" s="17" t="s">
        <v>76</v>
      </c>
    </row>
    <row r="41" spans="1:2" x14ac:dyDescent="0.25">
      <c r="A41" s="13" t="s">
        <v>24</v>
      </c>
      <c r="B41" s="17" t="s">
        <v>76</v>
      </c>
    </row>
    <row r="42" spans="1:2" ht="31.5" x14ac:dyDescent="0.25">
      <c r="A42" s="13" t="s">
        <v>25</v>
      </c>
      <c r="B42" s="17" t="s">
        <v>77</v>
      </c>
    </row>
    <row r="43" spans="1:2" ht="31.5" x14ac:dyDescent="0.25">
      <c r="A43" s="13" t="s">
        <v>26</v>
      </c>
      <c r="B43" s="17" t="s">
        <v>77</v>
      </c>
    </row>
    <row r="44" spans="1:2" ht="31.5" x14ac:dyDescent="0.25">
      <c r="A44" s="13" t="s">
        <v>27</v>
      </c>
      <c r="B44" s="17" t="s">
        <v>78</v>
      </c>
    </row>
    <row r="45" spans="1:2" ht="31.5" x14ac:dyDescent="0.25">
      <c r="A45" s="13" t="s">
        <v>28</v>
      </c>
      <c r="B45" s="17" t="s">
        <v>78</v>
      </c>
    </row>
    <row r="46" spans="1:2" x14ac:dyDescent="0.25">
      <c r="A46" s="19" t="s">
        <v>99</v>
      </c>
      <c r="B46" s="17"/>
    </row>
    <row r="47" spans="1:2" x14ac:dyDescent="0.25">
      <c r="A47" s="19" t="s">
        <v>100</v>
      </c>
      <c r="B47" s="17"/>
    </row>
    <row r="48" spans="1:2" x14ac:dyDescent="0.25">
      <c r="A48" s="19" t="s">
        <v>101</v>
      </c>
      <c r="B48" s="17"/>
    </row>
    <row r="49" spans="1:2" x14ac:dyDescent="0.25">
      <c r="A49" s="19" t="s">
        <v>102</v>
      </c>
      <c r="B49" s="17"/>
    </row>
    <row r="50" spans="1:2" x14ac:dyDescent="0.25">
      <c r="A50" s="19" t="s">
        <v>103</v>
      </c>
      <c r="B50" s="17"/>
    </row>
    <row r="51" spans="1:2" x14ac:dyDescent="0.25">
      <c r="A51" s="19" t="s">
        <v>104</v>
      </c>
      <c r="B51" s="17"/>
    </row>
    <row r="52" spans="1:2" x14ac:dyDescent="0.25">
      <c r="A52" s="19" t="s">
        <v>105</v>
      </c>
      <c r="B52" s="17"/>
    </row>
    <row r="53" spans="1:2" x14ac:dyDescent="0.25">
      <c r="A53" s="19" t="s">
        <v>106</v>
      </c>
      <c r="B53" s="17"/>
    </row>
    <row r="54" spans="1:2" x14ac:dyDescent="0.25">
      <c r="A54" s="19" t="s">
        <v>107</v>
      </c>
      <c r="B54" s="17"/>
    </row>
    <row r="55" spans="1:2" x14ac:dyDescent="0.25">
      <c r="A55" s="19" t="s">
        <v>108</v>
      </c>
      <c r="B55" s="17"/>
    </row>
    <row r="56" spans="1:2" x14ac:dyDescent="0.25">
      <c r="A56" s="19" t="s">
        <v>109</v>
      </c>
      <c r="B56" s="17"/>
    </row>
    <row r="57" spans="1:2" x14ac:dyDescent="0.25">
      <c r="A57" s="19" t="s">
        <v>110</v>
      </c>
      <c r="B57" s="17"/>
    </row>
    <row r="58" spans="1:2" x14ac:dyDescent="0.25">
      <c r="A58" s="19" t="s">
        <v>111</v>
      </c>
      <c r="B58" s="17"/>
    </row>
    <row r="59" spans="1:2" x14ac:dyDescent="0.25">
      <c r="A59" s="19" t="s">
        <v>112</v>
      </c>
      <c r="B59" s="17"/>
    </row>
    <row r="60" spans="1:2" x14ac:dyDescent="0.25">
      <c r="A60" s="19" t="s">
        <v>113</v>
      </c>
      <c r="B60" s="17"/>
    </row>
    <row r="61" spans="1:2" x14ac:dyDescent="0.25">
      <c r="A61" s="19" t="s">
        <v>114</v>
      </c>
      <c r="B61" s="17"/>
    </row>
    <row r="62" spans="1:2" x14ac:dyDescent="0.25">
      <c r="A62" s="13" t="s">
        <v>29</v>
      </c>
      <c r="B62" s="17" t="s">
        <v>79</v>
      </c>
    </row>
    <row r="63" spans="1:2" x14ac:dyDescent="0.25">
      <c r="A63" s="13" t="s">
        <v>30</v>
      </c>
      <c r="B63" s="17" t="s">
        <v>79</v>
      </c>
    </row>
    <row r="64" spans="1:2" x14ac:dyDescent="0.25">
      <c r="A64" s="13" t="s">
        <v>31</v>
      </c>
      <c r="B64" s="17" t="s">
        <v>79</v>
      </c>
    </row>
    <row r="65" spans="1:2" x14ac:dyDescent="0.25">
      <c r="A65" s="13" t="s">
        <v>32</v>
      </c>
      <c r="B65" s="17" t="s">
        <v>79</v>
      </c>
    </row>
    <row r="66" spans="1:2" x14ac:dyDescent="0.25">
      <c r="A66" s="13" t="s">
        <v>33</v>
      </c>
      <c r="B66" s="17" t="s">
        <v>83</v>
      </c>
    </row>
    <row r="67" spans="1:2" x14ac:dyDescent="0.25">
      <c r="A67" s="13" t="s">
        <v>34</v>
      </c>
      <c r="B67" s="17" t="s">
        <v>79</v>
      </c>
    </row>
    <row r="68" spans="1:2" ht="78.75" x14ac:dyDescent="0.25">
      <c r="A68" s="13" t="s">
        <v>35</v>
      </c>
      <c r="B68" s="17" t="s">
        <v>87</v>
      </c>
    </row>
    <row r="69" spans="1:2" x14ac:dyDescent="0.25">
      <c r="A69" s="13" t="s">
        <v>36</v>
      </c>
      <c r="B69" s="17" t="s">
        <v>79</v>
      </c>
    </row>
    <row r="70" spans="1:2" x14ac:dyDescent="0.25">
      <c r="A70" s="13" t="s">
        <v>37</v>
      </c>
      <c r="B70" s="17" t="s">
        <v>79</v>
      </c>
    </row>
    <row r="71" spans="1:2" x14ac:dyDescent="0.25">
      <c r="A71" s="13" t="s">
        <v>38</v>
      </c>
      <c r="B71" s="17" t="s">
        <v>79</v>
      </c>
    </row>
    <row r="72" spans="1:2" x14ac:dyDescent="0.25">
      <c r="A72" s="13" t="s">
        <v>39</v>
      </c>
      <c r="B72" s="17" t="s">
        <v>79</v>
      </c>
    </row>
    <row r="73" spans="1:2" x14ac:dyDescent="0.25">
      <c r="A73" s="13" t="s">
        <v>40</v>
      </c>
      <c r="B73" s="17" t="s">
        <v>80</v>
      </c>
    </row>
    <row r="74" spans="1:2" x14ac:dyDescent="0.25">
      <c r="A74" s="13" t="s">
        <v>41</v>
      </c>
      <c r="B74" s="17" t="s">
        <v>79</v>
      </c>
    </row>
    <row r="75" spans="1:2" ht="78.75" x14ac:dyDescent="0.25">
      <c r="A75" s="13" t="s">
        <v>42</v>
      </c>
      <c r="B75" s="17" t="s">
        <v>86</v>
      </c>
    </row>
    <row r="76" spans="1:2" x14ac:dyDescent="0.25">
      <c r="A76" s="13" t="s">
        <v>43</v>
      </c>
      <c r="B76" s="17" t="s">
        <v>76</v>
      </c>
    </row>
    <row r="77" spans="1:2" x14ac:dyDescent="0.25">
      <c r="A77" s="13" t="s">
        <v>44</v>
      </c>
      <c r="B77" s="17" t="s">
        <v>84</v>
      </c>
    </row>
    <row r="78" spans="1:2" x14ac:dyDescent="0.25">
      <c r="A78" s="13" t="s">
        <v>45</v>
      </c>
      <c r="B78" s="17" t="s">
        <v>88</v>
      </c>
    </row>
    <row r="79" spans="1:2" x14ac:dyDescent="0.25">
      <c r="A79" s="13" t="s">
        <v>46</v>
      </c>
      <c r="B79" s="17" t="s">
        <v>81</v>
      </c>
    </row>
    <row r="80" spans="1:2" x14ac:dyDescent="0.25">
      <c r="A80" s="13" t="s">
        <v>47</v>
      </c>
      <c r="B80" s="17" t="s">
        <v>79</v>
      </c>
    </row>
    <row r="81" spans="1:2" ht="47.25" x14ac:dyDescent="0.25">
      <c r="A81" s="13" t="s">
        <v>48</v>
      </c>
      <c r="B81" s="17" t="s">
        <v>82</v>
      </c>
    </row>
    <row r="82" spans="1:2" ht="47.25" x14ac:dyDescent="0.25">
      <c r="A82" s="13" t="s">
        <v>49</v>
      </c>
      <c r="B82" s="17" t="s">
        <v>82</v>
      </c>
    </row>
    <row r="83" spans="1:2" x14ac:dyDescent="0.25">
      <c r="A83" s="13" t="s">
        <v>50</v>
      </c>
      <c r="B83" s="17" t="s">
        <v>79</v>
      </c>
    </row>
    <row r="84" spans="1:2" x14ac:dyDescent="0.25">
      <c r="A84" s="13" t="s">
        <v>51</v>
      </c>
      <c r="B84" s="17" t="s">
        <v>79</v>
      </c>
    </row>
    <row r="85" spans="1:2" x14ac:dyDescent="0.25">
      <c r="A85" s="13" t="s">
        <v>52</v>
      </c>
      <c r="B85" s="17" t="s">
        <v>79</v>
      </c>
    </row>
    <row r="86" spans="1:2" x14ac:dyDescent="0.25">
      <c r="A86" s="13" t="s">
        <v>53</v>
      </c>
      <c r="B86" s="17" t="s">
        <v>79</v>
      </c>
    </row>
    <row r="87" spans="1:2" x14ac:dyDescent="0.25">
      <c r="A87" s="13" t="s">
        <v>54</v>
      </c>
      <c r="B87" s="17" t="s">
        <v>79</v>
      </c>
    </row>
    <row r="88" spans="1:2" x14ac:dyDescent="0.25">
      <c r="A88" s="13" t="s">
        <v>55</v>
      </c>
      <c r="B88" s="17" t="s">
        <v>79</v>
      </c>
    </row>
    <row r="89" spans="1:2" x14ac:dyDescent="0.25">
      <c r="A89" s="13" t="s">
        <v>56</v>
      </c>
      <c r="B89" s="17" t="s">
        <v>79</v>
      </c>
    </row>
    <row r="90" spans="1:2" x14ac:dyDescent="0.25">
      <c r="A90" s="13" t="s">
        <v>57</v>
      </c>
      <c r="B90" s="17" t="s">
        <v>79</v>
      </c>
    </row>
    <row r="91" spans="1:2" ht="29.25" customHeight="1" x14ac:dyDescent="0.25">
      <c r="A91" s="13" t="s">
        <v>58</v>
      </c>
      <c r="B91" s="17" t="s">
        <v>79</v>
      </c>
    </row>
    <row r="92" spans="1:2" ht="29.25" customHeight="1" x14ac:dyDescent="0.25">
      <c r="A92" s="13" t="s">
        <v>59</v>
      </c>
      <c r="B92" s="17" t="s">
        <v>79</v>
      </c>
    </row>
    <row r="93" spans="1:2" ht="29.25" customHeight="1" x14ac:dyDescent="0.25">
      <c r="A93" s="13" t="s">
        <v>60</v>
      </c>
      <c r="B93" s="17" t="s">
        <v>79</v>
      </c>
    </row>
    <row r="94" spans="1:2" ht="29.25" customHeight="1" x14ac:dyDescent="0.25">
      <c r="A94" s="13" t="s">
        <v>61</v>
      </c>
      <c r="B94" s="17" t="s">
        <v>79</v>
      </c>
    </row>
    <row r="95" spans="1:2" ht="29.25" customHeight="1" x14ac:dyDescent="0.25">
      <c r="A95" s="13" t="s">
        <v>62</v>
      </c>
      <c r="B95" s="17" t="s">
        <v>89</v>
      </c>
    </row>
    <row r="96" spans="1:2" ht="29.25" customHeight="1" x14ac:dyDescent="0.25">
      <c r="A96" s="13" t="s">
        <v>63</v>
      </c>
      <c r="B96" s="17" t="s">
        <v>89</v>
      </c>
    </row>
    <row r="97" spans="1:2" ht="30.75" customHeight="1" x14ac:dyDescent="0.25">
      <c r="A97" s="13" t="s">
        <v>64</v>
      </c>
      <c r="B97" s="17" t="s">
        <v>90</v>
      </c>
    </row>
    <row r="98" spans="1:2" ht="44.25" customHeight="1" x14ac:dyDescent="0.25">
      <c r="A98" s="13" t="s">
        <v>65</v>
      </c>
      <c r="B98" s="17" t="s">
        <v>91</v>
      </c>
    </row>
    <row r="99" spans="1:2" ht="52.5" customHeight="1" x14ac:dyDescent="0.25">
      <c r="A99" s="13" t="s">
        <v>66</v>
      </c>
      <c r="B99" s="17" t="s">
        <v>92</v>
      </c>
    </row>
    <row r="100" spans="1:2" ht="30.75" customHeight="1" x14ac:dyDescent="0.25">
      <c r="A100" s="13" t="s">
        <v>67</v>
      </c>
      <c r="B100" s="17" t="s">
        <v>85</v>
      </c>
    </row>
    <row r="101" spans="1:2" ht="30.75" customHeight="1" x14ac:dyDescent="0.25">
      <c r="A101" s="13" t="s">
        <v>68</v>
      </c>
      <c r="B101" s="17" t="s">
        <v>93</v>
      </c>
    </row>
    <row r="102" spans="1:2" ht="47.25" x14ac:dyDescent="0.25">
      <c r="A102" s="13" t="s">
        <v>69</v>
      </c>
      <c r="B102" s="17" t="s">
        <v>94</v>
      </c>
    </row>
    <row r="103" spans="1:2" ht="47.25" x14ac:dyDescent="0.25">
      <c r="A103" s="13" t="s">
        <v>70</v>
      </c>
      <c r="B103" s="17" t="s">
        <v>95</v>
      </c>
    </row>
    <row r="104" spans="1:2" ht="31.5" x14ac:dyDescent="0.25">
      <c r="A104" s="13" t="s">
        <v>71</v>
      </c>
      <c r="B104" s="17" t="s">
        <v>96</v>
      </c>
    </row>
    <row r="105" spans="1:2" ht="47.25" x14ac:dyDescent="0.25">
      <c r="A105" s="13" t="s">
        <v>72</v>
      </c>
      <c r="B105" s="17" t="s">
        <v>97</v>
      </c>
    </row>
    <row r="106" spans="1:2" ht="78.75" x14ac:dyDescent="0.25">
      <c r="A106" s="13" t="s">
        <v>73</v>
      </c>
      <c r="B106" s="17" t="s">
        <v>86</v>
      </c>
    </row>
    <row r="107" spans="1:2" ht="63" x14ac:dyDescent="0.25">
      <c r="A107" s="13" t="s">
        <v>74</v>
      </c>
      <c r="B107" s="17" t="s">
        <v>98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QueryData">
                <anchor moveWithCells="1" sizeWithCells="1">
                  <from>
                    <xdr:col>0</xdr:col>
                    <xdr:colOff>1514475</xdr:colOff>
                    <xdr:row>4</xdr:row>
                    <xdr:rowOff>171450</xdr:rowOff>
                  </from>
                  <to>
                    <xdr:col>1</xdr:col>
                    <xdr:colOff>1495425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ttendanceList.AttendanceList">
                <anchor moveWithCells="1" sizeWithCells="1">
                  <from>
                    <xdr:col>0</xdr:col>
                    <xdr:colOff>1524000</xdr:colOff>
                    <xdr:row>10</xdr:row>
                    <xdr:rowOff>0</xdr:rowOff>
                  </from>
                  <to>
                    <xdr:col>1</xdr:col>
                    <xdr:colOff>1495425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QueryNoOperation">
                <anchor moveWithCells="1" sizeWithCells="1">
                  <from>
                    <xdr:col>1</xdr:col>
                    <xdr:colOff>1981200</xdr:colOff>
                    <xdr:row>4</xdr:row>
                    <xdr:rowOff>180975</xdr:rowOff>
                  </from>
                  <to>
                    <xdr:col>3</xdr:col>
                    <xdr:colOff>619125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QueryData_ChangeWorker">
                <anchor moveWithCells="1" sizeWithCells="1">
                  <from>
                    <xdr:col>1</xdr:col>
                    <xdr:colOff>1971675</xdr:colOff>
                    <xdr:row>10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J72"/>
  <sheetViews>
    <sheetView workbookViewId="0">
      <selection activeCell="K4" sqref="K4"/>
    </sheetView>
  </sheetViews>
  <sheetFormatPr defaultRowHeight="15.75" x14ac:dyDescent="0.25"/>
  <cols>
    <col min="1" max="1" width="11.7109375" style="24" customWidth="1"/>
    <col min="2" max="4" width="6.28515625" customWidth="1"/>
    <col min="5" max="5" width="10.7109375" style="21" customWidth="1"/>
    <col min="6" max="7" width="6.28515625" style="21" customWidth="1"/>
    <col min="8" max="10" width="9.140625" style="21"/>
  </cols>
  <sheetData>
    <row r="1" spans="1:6" ht="21" x14ac:dyDescent="0.3">
      <c r="A1" s="29" t="s">
        <v>122</v>
      </c>
      <c r="B1" s="29"/>
      <c r="C1" s="29"/>
      <c r="D1" s="29"/>
      <c r="E1" s="29"/>
      <c r="F1" s="29"/>
    </row>
    <row r="2" spans="1:6" ht="31.5" x14ac:dyDescent="0.25">
      <c r="A2" s="24" t="s">
        <v>123</v>
      </c>
      <c r="B2" s="20">
        <v>44228</v>
      </c>
      <c r="C2" s="20">
        <v>44229</v>
      </c>
      <c r="D2" s="20">
        <v>44230</v>
      </c>
      <c r="E2" s="22" t="s">
        <v>124</v>
      </c>
      <c r="F2" s="21" t="s">
        <v>125</v>
      </c>
    </row>
    <row r="3" spans="1:6" x14ac:dyDescent="0.25">
      <c r="A3" s="24" t="s">
        <v>23</v>
      </c>
      <c r="B3" s="25">
        <v>0</v>
      </c>
      <c r="C3" s="25">
        <v>0</v>
      </c>
      <c r="D3" s="25">
        <v>0</v>
      </c>
      <c r="E3" s="23">
        <f t="shared" ref="E3:E34" si="0">F3/ COUNT(B3:D3)</f>
        <v>0</v>
      </c>
      <c r="F3" s="21">
        <f t="shared" ref="F3:F34" si="1">SUM(B3:D3)</f>
        <v>0</v>
      </c>
    </row>
    <row r="4" spans="1:6" x14ac:dyDescent="0.25">
      <c r="A4" s="24" t="s">
        <v>24</v>
      </c>
      <c r="B4" s="25">
        <v>0</v>
      </c>
      <c r="C4" s="25">
        <v>0</v>
      </c>
      <c r="D4" s="25">
        <v>0</v>
      </c>
      <c r="E4" s="23">
        <f t="shared" si="0"/>
        <v>0</v>
      </c>
      <c r="F4" s="21">
        <f t="shared" si="1"/>
        <v>0</v>
      </c>
    </row>
    <row r="5" spans="1:6" x14ac:dyDescent="0.25">
      <c r="A5" s="24" t="s">
        <v>25</v>
      </c>
      <c r="B5" s="25">
        <v>0</v>
      </c>
      <c r="C5" s="25">
        <v>0</v>
      </c>
      <c r="D5" s="25">
        <v>0</v>
      </c>
      <c r="E5" s="23">
        <f t="shared" si="0"/>
        <v>0</v>
      </c>
      <c r="F5" s="21">
        <f t="shared" si="1"/>
        <v>0</v>
      </c>
    </row>
    <row r="6" spans="1:6" x14ac:dyDescent="0.25">
      <c r="A6" s="24" t="s">
        <v>26</v>
      </c>
      <c r="B6" s="25">
        <v>0</v>
      </c>
      <c r="C6" s="25">
        <v>0</v>
      </c>
      <c r="D6" s="25">
        <v>0</v>
      </c>
      <c r="E6" s="23">
        <f t="shared" si="0"/>
        <v>0</v>
      </c>
      <c r="F6" s="21">
        <f t="shared" si="1"/>
        <v>0</v>
      </c>
    </row>
    <row r="7" spans="1:6" x14ac:dyDescent="0.25">
      <c r="A7" s="24" t="s">
        <v>27</v>
      </c>
      <c r="B7" s="25">
        <v>0</v>
      </c>
      <c r="C7" s="25">
        <v>0</v>
      </c>
      <c r="D7" s="25">
        <v>0</v>
      </c>
      <c r="E7" s="23">
        <f t="shared" si="0"/>
        <v>0</v>
      </c>
      <c r="F7" s="21">
        <f t="shared" si="1"/>
        <v>0</v>
      </c>
    </row>
    <row r="8" spans="1:6" x14ac:dyDescent="0.25">
      <c r="A8" s="24" t="s">
        <v>28</v>
      </c>
      <c r="B8" s="25">
        <v>0</v>
      </c>
      <c r="C8" s="25">
        <v>0</v>
      </c>
      <c r="D8" s="25">
        <v>0</v>
      </c>
      <c r="E8" s="23">
        <f t="shared" si="0"/>
        <v>0</v>
      </c>
      <c r="F8" s="21">
        <f t="shared" si="1"/>
        <v>0</v>
      </c>
    </row>
    <row r="9" spans="1:6" x14ac:dyDescent="0.25">
      <c r="A9" s="24" t="s">
        <v>36</v>
      </c>
      <c r="B9" s="25">
        <v>1</v>
      </c>
      <c r="C9" s="25">
        <v>0</v>
      </c>
      <c r="D9" s="25">
        <v>1</v>
      </c>
      <c r="E9" s="23">
        <f t="shared" si="0"/>
        <v>0.66666666666666663</v>
      </c>
      <c r="F9" s="21">
        <f t="shared" si="1"/>
        <v>2</v>
      </c>
    </row>
    <row r="10" spans="1:6" x14ac:dyDescent="0.25">
      <c r="A10" s="24" t="s">
        <v>37</v>
      </c>
      <c r="B10" s="25">
        <v>1</v>
      </c>
      <c r="C10" s="25">
        <v>0</v>
      </c>
      <c r="D10" s="25">
        <v>1</v>
      </c>
      <c r="E10" s="23">
        <f t="shared" si="0"/>
        <v>0.66666666666666663</v>
      </c>
      <c r="F10" s="21">
        <f t="shared" si="1"/>
        <v>2</v>
      </c>
    </row>
    <row r="11" spans="1:6" x14ac:dyDescent="0.25">
      <c r="A11" s="24" t="s">
        <v>38</v>
      </c>
      <c r="B11" s="25">
        <v>1</v>
      </c>
      <c r="C11" s="25">
        <v>1</v>
      </c>
      <c r="D11" s="25">
        <v>1</v>
      </c>
      <c r="E11" s="23">
        <f t="shared" si="0"/>
        <v>1</v>
      </c>
      <c r="F11" s="21">
        <f t="shared" si="1"/>
        <v>3</v>
      </c>
    </row>
    <row r="12" spans="1:6" x14ac:dyDescent="0.25">
      <c r="A12" s="24" t="s">
        <v>39</v>
      </c>
      <c r="B12" s="25">
        <v>1</v>
      </c>
      <c r="C12" s="25">
        <v>0</v>
      </c>
      <c r="D12" s="25">
        <v>1</v>
      </c>
      <c r="E12" s="23">
        <f t="shared" si="0"/>
        <v>0.66666666666666663</v>
      </c>
      <c r="F12" s="21">
        <f t="shared" si="1"/>
        <v>2</v>
      </c>
    </row>
    <row r="13" spans="1:6" x14ac:dyDescent="0.25">
      <c r="A13" s="24" t="s">
        <v>40</v>
      </c>
      <c r="B13" s="25">
        <v>1</v>
      </c>
      <c r="C13" s="25">
        <v>0</v>
      </c>
      <c r="D13" s="25">
        <v>0</v>
      </c>
      <c r="E13" s="23">
        <f t="shared" si="0"/>
        <v>0.33333333333333331</v>
      </c>
      <c r="F13" s="21">
        <f t="shared" si="1"/>
        <v>1</v>
      </c>
    </row>
    <row r="14" spans="1:6" x14ac:dyDescent="0.25">
      <c r="A14" s="24" t="s">
        <v>41</v>
      </c>
      <c r="B14" s="25">
        <v>1</v>
      </c>
      <c r="C14" s="25">
        <v>0</v>
      </c>
      <c r="D14" s="25">
        <v>0</v>
      </c>
      <c r="E14" s="23">
        <f t="shared" si="0"/>
        <v>0.33333333333333331</v>
      </c>
      <c r="F14" s="21">
        <f t="shared" si="1"/>
        <v>1</v>
      </c>
    </row>
    <row r="15" spans="1:6" x14ac:dyDescent="0.25">
      <c r="A15" s="24" t="s">
        <v>42</v>
      </c>
      <c r="B15" s="25">
        <v>1</v>
      </c>
      <c r="C15" s="25">
        <v>1</v>
      </c>
      <c r="D15" s="25">
        <v>1</v>
      </c>
      <c r="E15" s="23">
        <f t="shared" si="0"/>
        <v>1</v>
      </c>
      <c r="F15" s="21">
        <f t="shared" si="1"/>
        <v>3</v>
      </c>
    </row>
    <row r="16" spans="1:6" x14ac:dyDescent="0.25">
      <c r="A16" s="24" t="s">
        <v>29</v>
      </c>
      <c r="B16" s="25">
        <v>1</v>
      </c>
      <c r="C16" s="25">
        <v>1</v>
      </c>
      <c r="D16" s="25">
        <v>1</v>
      </c>
      <c r="E16" s="23">
        <f t="shared" si="0"/>
        <v>1</v>
      </c>
      <c r="F16" s="21">
        <f t="shared" si="1"/>
        <v>3</v>
      </c>
    </row>
    <row r="17" spans="1:6" x14ac:dyDescent="0.25">
      <c r="A17" s="24" t="s">
        <v>30</v>
      </c>
      <c r="B17" s="25">
        <v>1</v>
      </c>
      <c r="C17" s="25">
        <v>0</v>
      </c>
      <c r="D17" s="25">
        <v>0</v>
      </c>
      <c r="E17" s="23">
        <f t="shared" si="0"/>
        <v>0.33333333333333331</v>
      </c>
      <c r="F17" s="21">
        <f t="shared" si="1"/>
        <v>1</v>
      </c>
    </row>
    <row r="18" spans="1:6" x14ac:dyDescent="0.25">
      <c r="A18" s="24" t="s">
        <v>31</v>
      </c>
      <c r="B18" s="25">
        <v>1</v>
      </c>
      <c r="C18" s="25">
        <v>0</v>
      </c>
      <c r="D18" s="25">
        <v>0</v>
      </c>
      <c r="E18" s="23">
        <f t="shared" si="0"/>
        <v>0.33333333333333331</v>
      </c>
      <c r="F18" s="21">
        <f t="shared" si="1"/>
        <v>1</v>
      </c>
    </row>
    <row r="19" spans="1:6" x14ac:dyDescent="0.25">
      <c r="A19" s="24" t="s">
        <v>32</v>
      </c>
      <c r="B19" s="25">
        <v>0</v>
      </c>
      <c r="C19" s="25">
        <v>0</v>
      </c>
      <c r="D19" s="25">
        <v>0</v>
      </c>
      <c r="E19" s="23">
        <f t="shared" si="0"/>
        <v>0</v>
      </c>
      <c r="F19" s="21">
        <f t="shared" si="1"/>
        <v>0</v>
      </c>
    </row>
    <row r="20" spans="1:6" x14ac:dyDescent="0.25">
      <c r="A20" s="24" t="s">
        <v>33</v>
      </c>
      <c r="B20" s="25">
        <v>1</v>
      </c>
      <c r="C20" s="25">
        <v>0</v>
      </c>
      <c r="D20" s="25">
        <v>0</v>
      </c>
      <c r="E20" s="23">
        <f t="shared" si="0"/>
        <v>0.33333333333333331</v>
      </c>
      <c r="F20" s="21">
        <f t="shared" si="1"/>
        <v>1</v>
      </c>
    </row>
    <row r="21" spans="1:6" x14ac:dyDescent="0.25">
      <c r="A21" s="24" t="s">
        <v>34</v>
      </c>
      <c r="B21" s="25">
        <v>0</v>
      </c>
      <c r="C21" s="25">
        <v>0</v>
      </c>
      <c r="D21" s="25">
        <v>0</v>
      </c>
      <c r="E21" s="23">
        <f t="shared" si="0"/>
        <v>0</v>
      </c>
      <c r="F21" s="21">
        <f t="shared" si="1"/>
        <v>0</v>
      </c>
    </row>
    <row r="22" spans="1:6" x14ac:dyDescent="0.25">
      <c r="A22" s="24" t="s">
        <v>35</v>
      </c>
      <c r="B22" s="25">
        <v>1</v>
      </c>
      <c r="C22" s="25">
        <v>1</v>
      </c>
      <c r="D22" s="25">
        <v>1</v>
      </c>
      <c r="E22" s="23">
        <f t="shared" si="0"/>
        <v>1</v>
      </c>
      <c r="F22" s="21">
        <f t="shared" si="1"/>
        <v>3</v>
      </c>
    </row>
    <row r="23" spans="1:6" x14ac:dyDescent="0.25">
      <c r="A23" s="24" t="s">
        <v>58</v>
      </c>
      <c r="B23" s="25">
        <v>0</v>
      </c>
      <c r="C23" s="25">
        <v>0</v>
      </c>
      <c r="D23" s="25">
        <v>0</v>
      </c>
      <c r="E23" s="23">
        <f t="shared" si="0"/>
        <v>0</v>
      </c>
      <c r="F23" s="21">
        <f t="shared" si="1"/>
        <v>0</v>
      </c>
    </row>
    <row r="24" spans="1:6" x14ac:dyDescent="0.25">
      <c r="A24" s="24" t="s">
        <v>59</v>
      </c>
      <c r="B24" s="25">
        <v>1</v>
      </c>
      <c r="C24" s="25">
        <v>1</v>
      </c>
      <c r="D24" s="25">
        <v>0</v>
      </c>
      <c r="E24" s="23">
        <f t="shared" si="0"/>
        <v>0.66666666666666663</v>
      </c>
      <c r="F24" s="21">
        <f t="shared" si="1"/>
        <v>2</v>
      </c>
    </row>
    <row r="25" spans="1:6" x14ac:dyDescent="0.25">
      <c r="A25" s="24" t="s">
        <v>60</v>
      </c>
      <c r="B25" s="25">
        <v>0</v>
      </c>
      <c r="C25" s="25">
        <v>1</v>
      </c>
      <c r="D25" s="25">
        <v>0</v>
      </c>
      <c r="E25" s="23">
        <f t="shared" si="0"/>
        <v>0.33333333333333331</v>
      </c>
      <c r="F25" s="21">
        <f t="shared" si="1"/>
        <v>1</v>
      </c>
    </row>
    <row r="26" spans="1:6" x14ac:dyDescent="0.25">
      <c r="A26" s="24" t="s">
        <v>61</v>
      </c>
      <c r="B26" s="25">
        <v>0</v>
      </c>
      <c r="C26" s="25">
        <v>1</v>
      </c>
      <c r="D26" s="25">
        <v>0</v>
      </c>
      <c r="E26" s="23">
        <f t="shared" si="0"/>
        <v>0.33333333333333331</v>
      </c>
      <c r="F26" s="21">
        <f t="shared" si="1"/>
        <v>1</v>
      </c>
    </row>
    <row r="27" spans="1:6" x14ac:dyDescent="0.25">
      <c r="A27" s="24" t="s">
        <v>62</v>
      </c>
      <c r="B27" s="25">
        <v>0</v>
      </c>
      <c r="C27" s="25">
        <v>0</v>
      </c>
      <c r="D27" s="25">
        <v>1</v>
      </c>
      <c r="E27" s="23">
        <f t="shared" si="0"/>
        <v>0.33333333333333331</v>
      </c>
      <c r="F27" s="21">
        <f t="shared" si="1"/>
        <v>1</v>
      </c>
    </row>
    <row r="28" spans="1:6" x14ac:dyDescent="0.25">
      <c r="A28" s="24" t="s">
        <v>63</v>
      </c>
      <c r="B28" s="25">
        <v>0</v>
      </c>
      <c r="C28" s="25">
        <v>0</v>
      </c>
      <c r="D28" s="25">
        <v>1</v>
      </c>
      <c r="E28" s="23">
        <f t="shared" si="0"/>
        <v>0.33333333333333331</v>
      </c>
      <c r="F28" s="21">
        <f t="shared" si="1"/>
        <v>1</v>
      </c>
    </row>
    <row r="29" spans="1:6" x14ac:dyDescent="0.25">
      <c r="A29" s="24" t="s">
        <v>46</v>
      </c>
      <c r="B29" s="25">
        <v>0</v>
      </c>
      <c r="C29" s="25">
        <v>0</v>
      </c>
      <c r="D29" s="25">
        <v>0</v>
      </c>
      <c r="E29" s="23">
        <f t="shared" si="0"/>
        <v>0</v>
      </c>
      <c r="F29" s="21">
        <f t="shared" si="1"/>
        <v>0</v>
      </c>
    </row>
    <row r="30" spans="1:6" x14ac:dyDescent="0.25">
      <c r="A30" s="24" t="s">
        <v>47</v>
      </c>
      <c r="B30" s="25">
        <v>0</v>
      </c>
      <c r="C30" s="25">
        <v>0</v>
      </c>
      <c r="D30" s="25">
        <v>0</v>
      </c>
      <c r="E30" s="23">
        <f t="shared" si="0"/>
        <v>0</v>
      </c>
      <c r="F30" s="21">
        <f t="shared" si="1"/>
        <v>0</v>
      </c>
    </row>
    <row r="31" spans="1:6" x14ac:dyDescent="0.25">
      <c r="A31" s="24" t="s">
        <v>48</v>
      </c>
      <c r="B31" s="25">
        <v>0</v>
      </c>
      <c r="C31" s="25">
        <v>0</v>
      </c>
      <c r="D31" s="25">
        <v>0</v>
      </c>
      <c r="E31" s="23">
        <f t="shared" si="0"/>
        <v>0</v>
      </c>
      <c r="F31" s="21">
        <f t="shared" si="1"/>
        <v>0</v>
      </c>
    </row>
    <row r="32" spans="1:6" x14ac:dyDescent="0.25">
      <c r="A32" s="24" t="s">
        <v>49</v>
      </c>
      <c r="B32" s="25">
        <v>0</v>
      </c>
      <c r="C32" s="25">
        <v>0</v>
      </c>
      <c r="D32" s="25">
        <v>0</v>
      </c>
      <c r="E32" s="23">
        <f t="shared" si="0"/>
        <v>0</v>
      </c>
      <c r="F32" s="21">
        <f t="shared" si="1"/>
        <v>0</v>
      </c>
    </row>
    <row r="33" spans="1:6" x14ac:dyDescent="0.25">
      <c r="A33" s="24" t="s">
        <v>50</v>
      </c>
      <c r="B33" s="25">
        <v>0</v>
      </c>
      <c r="C33" s="25">
        <v>0</v>
      </c>
      <c r="D33" s="25">
        <v>0</v>
      </c>
      <c r="E33" s="23">
        <f t="shared" si="0"/>
        <v>0</v>
      </c>
      <c r="F33" s="21">
        <f t="shared" si="1"/>
        <v>0</v>
      </c>
    </row>
    <row r="34" spans="1:6" x14ac:dyDescent="0.25">
      <c r="A34" s="24" t="s">
        <v>51</v>
      </c>
      <c r="B34" s="25">
        <v>0</v>
      </c>
      <c r="C34" s="25">
        <v>0</v>
      </c>
      <c r="D34" s="25">
        <v>0</v>
      </c>
      <c r="E34" s="23">
        <f t="shared" si="0"/>
        <v>0</v>
      </c>
      <c r="F34" s="21">
        <f t="shared" si="1"/>
        <v>0</v>
      </c>
    </row>
    <row r="35" spans="1:6" x14ac:dyDescent="0.25">
      <c r="A35" s="24" t="s">
        <v>52</v>
      </c>
      <c r="B35" s="25">
        <v>1</v>
      </c>
      <c r="C35" s="25">
        <v>0</v>
      </c>
      <c r="D35" s="25">
        <v>0</v>
      </c>
      <c r="E35" s="23">
        <f t="shared" ref="E35:E66" si="2">F35/ COUNT(B35:D35)</f>
        <v>0.33333333333333331</v>
      </c>
      <c r="F35" s="21">
        <f t="shared" ref="F35:F70" si="3">SUM(B35:D35)</f>
        <v>1</v>
      </c>
    </row>
    <row r="36" spans="1:6" x14ac:dyDescent="0.25">
      <c r="A36" s="24" t="s">
        <v>53</v>
      </c>
      <c r="B36" s="25">
        <v>1</v>
      </c>
      <c r="C36" s="25">
        <v>0</v>
      </c>
      <c r="D36" s="25">
        <v>0</v>
      </c>
      <c r="E36" s="23">
        <f t="shared" si="2"/>
        <v>0.33333333333333331</v>
      </c>
      <c r="F36" s="21">
        <f t="shared" si="3"/>
        <v>1</v>
      </c>
    </row>
    <row r="37" spans="1:6" x14ac:dyDescent="0.25">
      <c r="A37" s="24" t="s">
        <v>54</v>
      </c>
      <c r="B37" s="25">
        <v>1</v>
      </c>
      <c r="C37" s="25">
        <v>1</v>
      </c>
      <c r="D37" s="25">
        <v>1</v>
      </c>
      <c r="E37" s="23">
        <f t="shared" si="2"/>
        <v>1</v>
      </c>
      <c r="F37" s="21">
        <f t="shared" si="3"/>
        <v>3</v>
      </c>
    </row>
    <row r="38" spans="1:6" x14ac:dyDescent="0.25">
      <c r="A38" s="24" t="s">
        <v>55</v>
      </c>
      <c r="B38" s="25">
        <v>1</v>
      </c>
      <c r="C38" s="25">
        <v>1</v>
      </c>
      <c r="D38" s="25">
        <v>1</v>
      </c>
      <c r="E38" s="23">
        <f t="shared" si="2"/>
        <v>1</v>
      </c>
      <c r="F38" s="21">
        <f t="shared" si="3"/>
        <v>3</v>
      </c>
    </row>
    <row r="39" spans="1:6" x14ac:dyDescent="0.25">
      <c r="A39" s="24" t="s">
        <v>56</v>
      </c>
      <c r="B39" s="25">
        <v>1</v>
      </c>
      <c r="C39" s="25">
        <v>0</v>
      </c>
      <c r="D39" s="25">
        <v>0</v>
      </c>
      <c r="E39" s="23">
        <f t="shared" si="2"/>
        <v>0.33333333333333331</v>
      </c>
      <c r="F39" s="21">
        <f t="shared" si="3"/>
        <v>1</v>
      </c>
    </row>
    <row r="40" spans="1:6" x14ac:dyDescent="0.25">
      <c r="A40" s="24" t="s">
        <v>57</v>
      </c>
      <c r="B40" s="25">
        <v>1</v>
      </c>
      <c r="C40" s="25">
        <v>0</v>
      </c>
      <c r="D40" s="25">
        <v>0</v>
      </c>
      <c r="E40" s="23">
        <f t="shared" si="2"/>
        <v>0.33333333333333331</v>
      </c>
      <c r="F40" s="21">
        <f t="shared" si="3"/>
        <v>1</v>
      </c>
    </row>
    <row r="41" spans="1:6" x14ac:dyDescent="0.25">
      <c r="A41" s="24" t="s">
        <v>43</v>
      </c>
      <c r="B41" s="25">
        <v>1</v>
      </c>
      <c r="C41" s="25">
        <v>0</v>
      </c>
      <c r="D41" s="25">
        <v>0</v>
      </c>
      <c r="E41" s="23">
        <f t="shared" si="2"/>
        <v>0.33333333333333331</v>
      </c>
      <c r="F41" s="21">
        <f t="shared" si="3"/>
        <v>1</v>
      </c>
    </row>
    <row r="42" spans="1:6" x14ac:dyDescent="0.25">
      <c r="A42" s="24" t="s">
        <v>44</v>
      </c>
      <c r="B42" s="25">
        <v>0</v>
      </c>
      <c r="C42" s="25">
        <v>0</v>
      </c>
      <c r="D42" s="25">
        <v>0</v>
      </c>
      <c r="E42" s="23">
        <f t="shared" si="2"/>
        <v>0</v>
      </c>
      <c r="F42" s="21">
        <f t="shared" si="3"/>
        <v>0</v>
      </c>
    </row>
    <row r="43" spans="1:6" x14ac:dyDescent="0.25">
      <c r="A43" s="24" t="s">
        <v>45</v>
      </c>
      <c r="B43" s="25">
        <v>0</v>
      </c>
      <c r="C43" s="25">
        <v>0</v>
      </c>
      <c r="D43" s="25">
        <v>0</v>
      </c>
      <c r="E43" s="23">
        <f t="shared" si="2"/>
        <v>0</v>
      </c>
      <c r="F43" s="21">
        <f t="shared" si="3"/>
        <v>0</v>
      </c>
    </row>
    <row r="44" spans="1:6" x14ac:dyDescent="0.25">
      <c r="A44" s="24" t="s">
        <v>64</v>
      </c>
      <c r="B44" s="25">
        <v>1</v>
      </c>
      <c r="C44" s="25">
        <v>1</v>
      </c>
      <c r="D44" s="25">
        <v>1</v>
      </c>
      <c r="E44" s="23">
        <f t="shared" si="2"/>
        <v>1</v>
      </c>
      <c r="F44" s="21">
        <f t="shared" si="3"/>
        <v>3</v>
      </c>
    </row>
    <row r="45" spans="1:6" x14ac:dyDescent="0.25">
      <c r="A45" s="24" t="s">
        <v>65</v>
      </c>
      <c r="B45" s="25">
        <v>1</v>
      </c>
      <c r="C45" s="25">
        <v>1</v>
      </c>
      <c r="D45" s="25">
        <v>1</v>
      </c>
      <c r="E45" s="23">
        <f t="shared" si="2"/>
        <v>1</v>
      </c>
      <c r="F45" s="21">
        <f t="shared" si="3"/>
        <v>3</v>
      </c>
    </row>
    <row r="46" spans="1:6" x14ac:dyDescent="0.25">
      <c r="A46" s="24" t="s">
        <v>66</v>
      </c>
      <c r="B46" s="25">
        <v>1</v>
      </c>
      <c r="C46" s="25">
        <v>1</v>
      </c>
      <c r="D46" s="25">
        <v>1</v>
      </c>
      <c r="E46" s="23">
        <f t="shared" si="2"/>
        <v>1</v>
      </c>
      <c r="F46" s="21">
        <f t="shared" si="3"/>
        <v>3</v>
      </c>
    </row>
    <row r="47" spans="1:6" x14ac:dyDescent="0.25">
      <c r="A47" s="24" t="s">
        <v>67</v>
      </c>
      <c r="B47" s="25">
        <v>1</v>
      </c>
      <c r="C47" s="25">
        <v>1</v>
      </c>
      <c r="D47" s="25">
        <v>1</v>
      </c>
      <c r="E47" s="23">
        <f t="shared" si="2"/>
        <v>1</v>
      </c>
      <c r="F47" s="21">
        <f t="shared" si="3"/>
        <v>3</v>
      </c>
    </row>
    <row r="48" spans="1:6" x14ac:dyDescent="0.25">
      <c r="A48" s="24" t="s">
        <v>68</v>
      </c>
      <c r="B48" s="25">
        <v>1</v>
      </c>
      <c r="C48" s="25">
        <v>1</v>
      </c>
      <c r="D48" s="25">
        <v>1</v>
      </c>
      <c r="E48" s="23">
        <f t="shared" si="2"/>
        <v>1</v>
      </c>
      <c r="F48" s="21">
        <f t="shared" si="3"/>
        <v>3</v>
      </c>
    </row>
    <row r="49" spans="1:6" x14ac:dyDescent="0.25">
      <c r="A49" s="24" t="s">
        <v>69</v>
      </c>
      <c r="B49" s="25">
        <v>1</v>
      </c>
      <c r="C49" s="25">
        <v>1</v>
      </c>
      <c r="D49" s="25">
        <v>1</v>
      </c>
      <c r="E49" s="23">
        <f t="shared" si="2"/>
        <v>1</v>
      </c>
      <c r="F49" s="21">
        <f t="shared" si="3"/>
        <v>3</v>
      </c>
    </row>
    <row r="50" spans="1:6" x14ac:dyDescent="0.25">
      <c r="A50" s="24" t="s">
        <v>70</v>
      </c>
      <c r="B50" s="25">
        <v>0</v>
      </c>
      <c r="C50" s="25">
        <v>1</v>
      </c>
      <c r="D50" s="25">
        <v>1</v>
      </c>
      <c r="E50" s="23">
        <f t="shared" si="2"/>
        <v>0.66666666666666663</v>
      </c>
      <c r="F50" s="21">
        <f t="shared" si="3"/>
        <v>2</v>
      </c>
    </row>
    <row r="51" spans="1:6" x14ac:dyDescent="0.25">
      <c r="A51" s="24" t="s">
        <v>71</v>
      </c>
      <c r="B51" s="25">
        <v>0</v>
      </c>
      <c r="C51" s="25">
        <v>1</v>
      </c>
      <c r="D51" s="25">
        <v>1</v>
      </c>
      <c r="E51" s="23">
        <f t="shared" si="2"/>
        <v>0.66666666666666663</v>
      </c>
      <c r="F51" s="21">
        <f t="shared" si="3"/>
        <v>2</v>
      </c>
    </row>
    <row r="52" spans="1:6" x14ac:dyDescent="0.25">
      <c r="A52" s="24" t="s">
        <v>72</v>
      </c>
      <c r="B52" s="25">
        <v>0</v>
      </c>
      <c r="C52" s="25">
        <v>1</v>
      </c>
      <c r="D52" s="25">
        <v>1</v>
      </c>
      <c r="E52" s="23">
        <f t="shared" si="2"/>
        <v>0.66666666666666663</v>
      </c>
      <c r="F52" s="21">
        <f t="shared" si="3"/>
        <v>2</v>
      </c>
    </row>
    <row r="53" spans="1:6" x14ac:dyDescent="0.25">
      <c r="A53" s="24" t="s">
        <v>73</v>
      </c>
      <c r="B53" s="25">
        <v>1</v>
      </c>
      <c r="C53" s="25">
        <v>1</v>
      </c>
      <c r="D53" s="25">
        <v>1</v>
      </c>
      <c r="E53" s="23">
        <f t="shared" si="2"/>
        <v>1</v>
      </c>
      <c r="F53" s="21">
        <f t="shared" si="3"/>
        <v>3</v>
      </c>
    </row>
    <row r="54" spans="1:6" x14ac:dyDescent="0.25">
      <c r="A54" s="24" t="s">
        <v>74</v>
      </c>
      <c r="B54" s="25">
        <v>1</v>
      </c>
      <c r="C54" s="25">
        <v>1</v>
      </c>
      <c r="D54" s="25">
        <v>1</v>
      </c>
      <c r="E54" s="23">
        <f t="shared" si="2"/>
        <v>1</v>
      </c>
      <c r="F54" s="21">
        <f t="shared" si="3"/>
        <v>3</v>
      </c>
    </row>
    <row r="55" spans="1:6" x14ac:dyDescent="0.25">
      <c r="A55" s="24" t="s">
        <v>99</v>
      </c>
      <c r="B55" s="25">
        <v>1</v>
      </c>
      <c r="C55" s="25">
        <v>1</v>
      </c>
      <c r="D55" s="25">
        <v>1</v>
      </c>
      <c r="E55" s="23">
        <f t="shared" si="2"/>
        <v>1</v>
      </c>
      <c r="F55" s="21">
        <f t="shared" si="3"/>
        <v>3</v>
      </c>
    </row>
    <row r="56" spans="1:6" x14ac:dyDescent="0.25">
      <c r="A56" s="24" t="s">
        <v>107</v>
      </c>
      <c r="B56" s="25">
        <v>1</v>
      </c>
      <c r="C56" s="25">
        <v>1</v>
      </c>
      <c r="D56" s="25">
        <v>1</v>
      </c>
      <c r="E56" s="23">
        <f t="shared" si="2"/>
        <v>1</v>
      </c>
      <c r="F56" s="21">
        <f t="shared" si="3"/>
        <v>3</v>
      </c>
    </row>
    <row r="57" spans="1:6" x14ac:dyDescent="0.25">
      <c r="A57" s="24" t="s">
        <v>108</v>
      </c>
      <c r="B57" s="25">
        <v>1</v>
      </c>
      <c r="C57" s="25">
        <v>1</v>
      </c>
      <c r="D57" s="25">
        <v>1</v>
      </c>
      <c r="E57" s="23">
        <f t="shared" si="2"/>
        <v>1</v>
      </c>
      <c r="F57" s="21">
        <f t="shared" si="3"/>
        <v>3</v>
      </c>
    </row>
    <row r="58" spans="1:6" x14ac:dyDescent="0.25">
      <c r="A58" s="24" t="s">
        <v>109</v>
      </c>
      <c r="B58" s="25">
        <v>1</v>
      </c>
      <c r="C58" s="25">
        <v>1</v>
      </c>
      <c r="D58" s="25">
        <v>1</v>
      </c>
      <c r="E58" s="23">
        <f t="shared" si="2"/>
        <v>1</v>
      </c>
      <c r="F58" s="21">
        <f t="shared" si="3"/>
        <v>3</v>
      </c>
    </row>
    <row r="59" spans="1:6" x14ac:dyDescent="0.25">
      <c r="A59" s="24" t="s">
        <v>110</v>
      </c>
      <c r="B59" s="25">
        <v>1</v>
      </c>
      <c r="C59" s="25">
        <v>1</v>
      </c>
      <c r="D59" s="25">
        <v>1</v>
      </c>
      <c r="E59" s="23">
        <f t="shared" si="2"/>
        <v>1</v>
      </c>
      <c r="F59" s="21">
        <f t="shared" si="3"/>
        <v>3</v>
      </c>
    </row>
    <row r="60" spans="1:6" x14ac:dyDescent="0.25">
      <c r="A60" s="24" t="s">
        <v>111</v>
      </c>
      <c r="B60" s="25">
        <v>1</v>
      </c>
      <c r="C60" s="25">
        <v>1</v>
      </c>
      <c r="D60" s="25">
        <v>1</v>
      </c>
      <c r="E60" s="23">
        <f t="shared" si="2"/>
        <v>1</v>
      </c>
      <c r="F60" s="21">
        <f t="shared" si="3"/>
        <v>3</v>
      </c>
    </row>
    <row r="61" spans="1:6" x14ac:dyDescent="0.25">
      <c r="A61" s="24" t="s">
        <v>112</v>
      </c>
      <c r="B61" s="25">
        <v>1</v>
      </c>
      <c r="C61" s="25">
        <v>1</v>
      </c>
      <c r="D61" s="25">
        <v>1</v>
      </c>
      <c r="E61" s="23">
        <f t="shared" si="2"/>
        <v>1</v>
      </c>
      <c r="F61" s="21">
        <f t="shared" si="3"/>
        <v>3</v>
      </c>
    </row>
    <row r="62" spans="1:6" x14ac:dyDescent="0.25">
      <c r="A62" s="24" t="s">
        <v>113</v>
      </c>
      <c r="B62" s="25">
        <v>1</v>
      </c>
      <c r="C62" s="25">
        <v>1</v>
      </c>
      <c r="D62" s="25">
        <v>1</v>
      </c>
      <c r="E62" s="23">
        <f t="shared" si="2"/>
        <v>1</v>
      </c>
      <c r="F62" s="21">
        <f t="shared" si="3"/>
        <v>3</v>
      </c>
    </row>
    <row r="63" spans="1:6" x14ac:dyDescent="0.25">
      <c r="A63" s="24" t="s">
        <v>114</v>
      </c>
      <c r="B63" s="25">
        <v>1</v>
      </c>
      <c r="C63" s="25">
        <v>1</v>
      </c>
      <c r="D63" s="25">
        <v>1</v>
      </c>
      <c r="E63" s="23">
        <f t="shared" si="2"/>
        <v>1</v>
      </c>
      <c r="F63" s="21">
        <f t="shared" si="3"/>
        <v>3</v>
      </c>
    </row>
    <row r="64" spans="1:6" x14ac:dyDescent="0.25">
      <c r="A64" s="24" t="s">
        <v>100</v>
      </c>
      <c r="B64" s="25">
        <v>1</v>
      </c>
      <c r="C64" s="25">
        <v>1</v>
      </c>
      <c r="D64" s="25">
        <v>1</v>
      </c>
      <c r="E64" s="23">
        <f t="shared" si="2"/>
        <v>1</v>
      </c>
      <c r="F64" s="21">
        <f t="shared" si="3"/>
        <v>3</v>
      </c>
    </row>
    <row r="65" spans="1:6" x14ac:dyDescent="0.25">
      <c r="A65" s="24" t="s">
        <v>101</v>
      </c>
      <c r="B65" s="25">
        <v>1</v>
      </c>
      <c r="C65" s="25">
        <v>1</v>
      </c>
      <c r="D65" s="25">
        <v>1</v>
      </c>
      <c r="E65" s="23">
        <f t="shared" si="2"/>
        <v>1</v>
      </c>
      <c r="F65" s="21">
        <f t="shared" si="3"/>
        <v>3</v>
      </c>
    </row>
    <row r="66" spans="1:6" x14ac:dyDescent="0.25">
      <c r="A66" s="24" t="s">
        <v>102</v>
      </c>
      <c r="B66" s="25">
        <v>1</v>
      </c>
      <c r="C66" s="25">
        <v>1</v>
      </c>
      <c r="D66" s="25">
        <v>1</v>
      </c>
      <c r="E66" s="23">
        <f t="shared" si="2"/>
        <v>1</v>
      </c>
      <c r="F66" s="21">
        <f t="shared" si="3"/>
        <v>3</v>
      </c>
    </row>
    <row r="67" spans="1:6" x14ac:dyDescent="0.25">
      <c r="A67" s="24" t="s">
        <v>103</v>
      </c>
      <c r="B67" s="25">
        <v>1</v>
      </c>
      <c r="C67" s="25">
        <v>1</v>
      </c>
      <c r="D67" s="25">
        <v>1</v>
      </c>
      <c r="E67" s="23">
        <f t="shared" ref="E67:E98" si="4">F67/ COUNT(B67:D67)</f>
        <v>1</v>
      </c>
      <c r="F67" s="21">
        <f t="shared" si="3"/>
        <v>3</v>
      </c>
    </row>
    <row r="68" spans="1:6" x14ac:dyDescent="0.25">
      <c r="A68" s="24" t="s">
        <v>104</v>
      </c>
      <c r="B68" s="25">
        <v>1</v>
      </c>
      <c r="C68" s="25">
        <v>1</v>
      </c>
      <c r="D68" s="25">
        <v>1</v>
      </c>
      <c r="E68" s="23">
        <f t="shared" si="4"/>
        <v>1</v>
      </c>
      <c r="F68" s="21">
        <f t="shared" si="3"/>
        <v>3</v>
      </c>
    </row>
    <row r="69" spans="1:6" x14ac:dyDescent="0.25">
      <c r="A69" s="24" t="s">
        <v>105</v>
      </c>
      <c r="B69" s="25">
        <v>1</v>
      </c>
      <c r="C69" s="25">
        <v>1</v>
      </c>
      <c r="D69" s="25">
        <v>1</v>
      </c>
      <c r="E69" s="23">
        <f t="shared" si="4"/>
        <v>1</v>
      </c>
      <c r="F69" s="21">
        <f t="shared" si="3"/>
        <v>3</v>
      </c>
    </row>
    <row r="70" spans="1:6" x14ac:dyDescent="0.25">
      <c r="A70" s="24" t="s">
        <v>106</v>
      </c>
      <c r="B70" s="25">
        <v>1</v>
      </c>
      <c r="C70" s="25">
        <v>1</v>
      </c>
      <c r="D70" s="25">
        <v>1</v>
      </c>
      <c r="E70" s="23">
        <f t="shared" si="4"/>
        <v>1</v>
      </c>
      <c r="F70" s="21">
        <f t="shared" si="3"/>
        <v>3</v>
      </c>
    </row>
    <row r="71" spans="1:6" x14ac:dyDescent="0.25">
      <c r="B71" s="25"/>
      <c r="C71" s="25"/>
      <c r="D71" s="25"/>
    </row>
    <row r="72" spans="1:6" x14ac:dyDescent="0.25">
      <c r="B72" s="25"/>
      <c r="C72" s="25"/>
      <c r="D72" s="25"/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nd1_Click">
                <anchor moveWithCells="1" sizeWithCells="1">
                  <from>
                    <xdr:col>0</xdr:col>
                    <xdr:colOff>123825</xdr:colOff>
                    <xdr:row>0</xdr:row>
                    <xdr:rowOff>19050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33"/>
  <sheetViews>
    <sheetView tabSelected="1" workbookViewId="0"/>
  </sheetViews>
  <sheetFormatPr defaultRowHeight="15.75" x14ac:dyDescent="0.25"/>
  <cols>
    <col min="1" max="1" width="12.7109375" style="3" customWidth="1"/>
    <col min="2" max="5" width="12.7109375" style="2" customWidth="1"/>
    <col min="6" max="6" width="9.140625" style="2"/>
    <col min="7" max="7" width="15.7109375" style="2" customWidth="1"/>
    <col min="8" max="8" width="30.7109375" style="2" customWidth="1"/>
    <col min="9" max="9" width="12.7109375" style="2" customWidth="1"/>
    <col min="10" max="11" width="9.140625" style="2"/>
    <col min="12" max="13" width="12.7109375" style="2" customWidth="1"/>
  </cols>
  <sheetData>
    <row r="1" spans="1:13" ht="47.25" x14ac:dyDescent="0.25">
      <c r="A1" s="3" t="s">
        <v>126</v>
      </c>
      <c r="B1" s="2" t="s">
        <v>127</v>
      </c>
      <c r="C1" s="2" t="s">
        <v>128</v>
      </c>
      <c r="D1" s="2" t="s">
        <v>129</v>
      </c>
      <c r="E1" s="2" t="s">
        <v>130</v>
      </c>
      <c r="F1" s="2" t="s">
        <v>131</v>
      </c>
      <c r="G1" s="2" t="s">
        <v>132</v>
      </c>
      <c r="H1" s="2" t="s">
        <v>133</v>
      </c>
      <c r="I1" s="2" t="s">
        <v>134</v>
      </c>
      <c r="J1" s="2" t="s">
        <v>135</v>
      </c>
      <c r="K1" s="2" t="s">
        <v>136</v>
      </c>
      <c r="L1" s="2" t="s">
        <v>137</v>
      </c>
      <c r="M1" s="2" t="s">
        <v>138</v>
      </c>
    </row>
    <row r="2" spans="1:13" ht="63" x14ac:dyDescent="0.25">
      <c r="A2" s="3" t="s">
        <v>1</v>
      </c>
      <c r="B2" s="2" t="s">
        <v>0</v>
      </c>
      <c r="C2" s="2" t="s">
        <v>3</v>
      </c>
      <c r="D2" s="2" t="s">
        <v>4</v>
      </c>
      <c r="E2" s="2" t="s">
        <v>2</v>
      </c>
      <c r="F2" s="2" t="s">
        <v>5</v>
      </c>
      <c r="G2" s="2" t="s">
        <v>6</v>
      </c>
      <c r="H2" s="2" t="s">
        <v>7</v>
      </c>
      <c r="I2" s="2" t="s">
        <v>139</v>
      </c>
      <c r="J2" s="2" t="s">
        <v>140</v>
      </c>
      <c r="K2" s="2" t="s">
        <v>118</v>
      </c>
      <c r="L2" s="2" t="s">
        <v>141</v>
      </c>
      <c r="M2" s="2" t="s">
        <v>142</v>
      </c>
    </row>
    <row r="3" spans="1:13" ht="31.5" x14ac:dyDescent="0.25">
      <c r="A3" s="3">
        <v>44230</v>
      </c>
      <c r="B3" s="2" t="s">
        <v>143</v>
      </c>
      <c r="C3" s="2" t="s">
        <v>144</v>
      </c>
      <c r="D3" s="2" t="s">
        <v>143</v>
      </c>
      <c r="E3" s="2" t="s">
        <v>145</v>
      </c>
      <c r="F3" s="2" t="s">
        <v>30</v>
      </c>
      <c r="G3" s="2" t="s">
        <v>146</v>
      </c>
      <c r="H3" s="2" t="s">
        <v>147</v>
      </c>
      <c r="I3" s="2">
        <v>88</v>
      </c>
      <c r="J3" s="2" t="s">
        <v>148</v>
      </c>
      <c r="K3" s="2">
        <v>33</v>
      </c>
      <c r="L3" s="2">
        <v>28</v>
      </c>
      <c r="M3" s="2">
        <f>I3-L3</f>
        <v>60</v>
      </c>
    </row>
    <row r="4" spans="1:13" ht="31.5" x14ac:dyDescent="0.25">
      <c r="A4" s="3">
        <v>44230</v>
      </c>
      <c r="B4" s="2" t="s">
        <v>143</v>
      </c>
      <c r="C4" s="2" t="s">
        <v>149</v>
      </c>
      <c r="D4" s="2" t="s">
        <v>143</v>
      </c>
      <c r="E4" s="2" t="s">
        <v>150</v>
      </c>
      <c r="F4" s="2" t="s">
        <v>31</v>
      </c>
      <c r="G4" s="2" t="s">
        <v>151</v>
      </c>
      <c r="H4" s="2" t="s">
        <v>152</v>
      </c>
      <c r="I4" s="2">
        <v>87</v>
      </c>
      <c r="J4" s="2" t="s">
        <v>153</v>
      </c>
      <c r="K4" s="2">
        <v>48</v>
      </c>
      <c r="L4" s="2">
        <v>41</v>
      </c>
      <c r="M4" s="2">
        <f>I4-L4</f>
        <v>46</v>
      </c>
    </row>
    <row r="5" spans="1:13" ht="31.5" x14ac:dyDescent="0.25">
      <c r="A5" s="3">
        <v>44230</v>
      </c>
      <c r="B5" s="2" t="s">
        <v>143</v>
      </c>
      <c r="C5" s="2" t="s">
        <v>154</v>
      </c>
      <c r="D5" s="2" t="s">
        <v>143</v>
      </c>
      <c r="E5" s="2" t="s">
        <v>155</v>
      </c>
      <c r="F5" s="2" t="s">
        <v>32</v>
      </c>
      <c r="G5" s="2" t="s">
        <v>156</v>
      </c>
      <c r="H5" s="2" t="s">
        <v>157</v>
      </c>
      <c r="I5" s="2">
        <v>99</v>
      </c>
      <c r="J5" s="2" t="s">
        <v>148</v>
      </c>
      <c r="K5" s="2">
        <v>39</v>
      </c>
      <c r="L5" s="2">
        <v>71</v>
      </c>
      <c r="M5" s="2">
        <f>I5-L5</f>
        <v>28</v>
      </c>
    </row>
    <row r="6" spans="1:13" ht="47.25" x14ac:dyDescent="0.25">
      <c r="A6" s="3">
        <v>44230</v>
      </c>
      <c r="B6" s="2" t="s">
        <v>143</v>
      </c>
      <c r="C6" s="2" t="s">
        <v>158</v>
      </c>
      <c r="D6" s="2" t="s">
        <v>143</v>
      </c>
      <c r="E6" s="2" t="s">
        <v>159</v>
      </c>
      <c r="F6" s="2" t="s">
        <v>33</v>
      </c>
      <c r="G6" s="2" t="s">
        <v>160</v>
      </c>
      <c r="H6" s="2" t="s">
        <v>161</v>
      </c>
      <c r="I6" s="2">
        <v>95</v>
      </c>
      <c r="J6" s="2" t="s">
        <v>148</v>
      </c>
      <c r="K6" s="2">
        <v>103</v>
      </c>
      <c r="L6" s="2">
        <v>60</v>
      </c>
      <c r="M6" s="2">
        <f>I6-L6</f>
        <v>35</v>
      </c>
    </row>
    <row r="7" spans="1:13" ht="31.5" x14ac:dyDescent="0.25">
      <c r="A7" s="3">
        <v>44230</v>
      </c>
      <c r="B7" s="2" t="s">
        <v>143</v>
      </c>
      <c r="C7" s="2" t="s">
        <v>162</v>
      </c>
      <c r="D7" s="2" t="s">
        <v>143</v>
      </c>
      <c r="E7" s="2" t="s">
        <v>163</v>
      </c>
      <c r="F7" s="2" t="s">
        <v>34</v>
      </c>
      <c r="G7" s="2" t="s">
        <v>164</v>
      </c>
      <c r="H7" s="2" t="s">
        <v>165</v>
      </c>
      <c r="I7" s="2">
        <v>101</v>
      </c>
      <c r="J7" s="2" t="s">
        <v>148</v>
      </c>
      <c r="K7" s="2">
        <v>32</v>
      </c>
      <c r="L7" s="2">
        <v>68</v>
      </c>
      <c r="M7" s="2">
        <f>I7-L7</f>
        <v>33</v>
      </c>
    </row>
    <row r="8" spans="1:13" ht="31.5" x14ac:dyDescent="0.25">
      <c r="A8" s="3">
        <v>44230</v>
      </c>
      <c r="B8" s="2" t="s">
        <v>143</v>
      </c>
      <c r="C8" s="2" t="s">
        <v>166</v>
      </c>
      <c r="D8" s="2" t="s">
        <v>143</v>
      </c>
      <c r="E8" s="2" t="s">
        <v>167</v>
      </c>
      <c r="F8" s="2" t="s">
        <v>43</v>
      </c>
      <c r="G8" s="2" t="s">
        <v>168</v>
      </c>
      <c r="H8" s="2" t="s">
        <v>169</v>
      </c>
      <c r="I8" s="2">
        <v>91</v>
      </c>
      <c r="J8" s="2" t="s">
        <v>170</v>
      </c>
      <c r="K8" s="2">
        <v>71</v>
      </c>
      <c r="L8" s="2">
        <v>49</v>
      </c>
      <c r="M8" s="2">
        <f>I8-L8</f>
        <v>42</v>
      </c>
    </row>
    <row r="9" spans="1:13" ht="31.5" x14ac:dyDescent="0.25">
      <c r="A9" s="3">
        <v>44230</v>
      </c>
      <c r="B9" s="2" t="s">
        <v>143</v>
      </c>
      <c r="C9" s="2" t="s">
        <v>171</v>
      </c>
      <c r="D9" s="2" t="s">
        <v>143</v>
      </c>
      <c r="E9" s="2" t="s">
        <v>172</v>
      </c>
      <c r="F9" s="2" t="s">
        <v>44</v>
      </c>
      <c r="G9" s="2" t="s">
        <v>173</v>
      </c>
      <c r="H9" s="2" t="s">
        <v>169</v>
      </c>
      <c r="I9" s="2">
        <v>96</v>
      </c>
      <c r="L9" s="2">
        <v>46</v>
      </c>
      <c r="M9" s="2">
        <f>I9-L9</f>
        <v>50</v>
      </c>
    </row>
    <row r="10" spans="1:13" ht="31.5" x14ac:dyDescent="0.25">
      <c r="A10" s="3">
        <v>44230</v>
      </c>
      <c r="B10" s="2" t="s">
        <v>143</v>
      </c>
      <c r="C10" s="2" t="s">
        <v>171</v>
      </c>
      <c r="D10" s="2" t="s">
        <v>143</v>
      </c>
      <c r="E10" s="2" t="s">
        <v>174</v>
      </c>
      <c r="F10" s="2" t="s">
        <v>44</v>
      </c>
      <c r="G10" s="2" t="s">
        <v>173</v>
      </c>
      <c r="H10" s="2" t="s">
        <v>169</v>
      </c>
      <c r="I10" s="2">
        <v>96</v>
      </c>
      <c r="L10" s="2">
        <v>46</v>
      </c>
      <c r="M10" s="2">
        <f>I10-L10</f>
        <v>50</v>
      </c>
    </row>
    <row r="11" spans="1:13" ht="31.5" x14ac:dyDescent="0.25">
      <c r="A11" s="3">
        <v>44230</v>
      </c>
      <c r="B11" s="2" t="s">
        <v>143</v>
      </c>
      <c r="C11" s="2" t="s">
        <v>175</v>
      </c>
      <c r="D11" s="2" t="s">
        <v>143</v>
      </c>
      <c r="E11" s="2" t="s">
        <v>176</v>
      </c>
      <c r="F11" s="2" t="s">
        <v>45</v>
      </c>
      <c r="G11" s="2" t="s">
        <v>168</v>
      </c>
      <c r="H11" s="2" t="s">
        <v>169</v>
      </c>
      <c r="I11" s="2">
        <v>94</v>
      </c>
      <c r="J11" s="2" t="s">
        <v>170</v>
      </c>
      <c r="K11" s="2">
        <v>49</v>
      </c>
      <c r="L11" s="2">
        <v>39</v>
      </c>
      <c r="M11" s="2">
        <f>I11-L11</f>
        <v>55</v>
      </c>
    </row>
    <row r="12" spans="1:13" ht="31.5" x14ac:dyDescent="0.25">
      <c r="A12" s="3">
        <v>44230</v>
      </c>
      <c r="B12" s="2" t="s">
        <v>143</v>
      </c>
      <c r="C12" s="2" t="s">
        <v>177</v>
      </c>
      <c r="D12" s="2" t="s">
        <v>143</v>
      </c>
      <c r="E12" s="2" t="s">
        <v>178</v>
      </c>
      <c r="F12" s="2" t="s">
        <v>48</v>
      </c>
      <c r="G12" s="2" t="s">
        <v>179</v>
      </c>
      <c r="H12" s="2" t="s">
        <v>180</v>
      </c>
      <c r="I12" s="2">
        <v>42</v>
      </c>
      <c r="J12" s="2" t="s">
        <v>170</v>
      </c>
      <c r="K12" s="2">
        <v>23</v>
      </c>
      <c r="L12" s="2">
        <v>32</v>
      </c>
      <c r="M12" s="2">
        <f>I12-L12</f>
        <v>10</v>
      </c>
    </row>
    <row r="13" spans="1:13" ht="31.5" x14ac:dyDescent="0.25">
      <c r="A13" s="3">
        <v>44230</v>
      </c>
      <c r="B13" s="2" t="s">
        <v>143</v>
      </c>
      <c r="C13" s="2" t="s">
        <v>181</v>
      </c>
      <c r="D13" s="2" t="s">
        <v>143</v>
      </c>
      <c r="E13" s="2" t="s">
        <v>182</v>
      </c>
      <c r="F13" s="2" t="s">
        <v>49</v>
      </c>
      <c r="G13" s="2" t="s">
        <v>179</v>
      </c>
      <c r="H13" s="2" t="s">
        <v>180</v>
      </c>
      <c r="I13" s="2">
        <v>45</v>
      </c>
      <c r="J13" s="2" t="s">
        <v>170</v>
      </c>
      <c r="K13" s="2">
        <v>27</v>
      </c>
      <c r="L13" s="2">
        <v>36</v>
      </c>
      <c r="M13" s="2">
        <f>I13-L13</f>
        <v>9</v>
      </c>
    </row>
    <row r="14" spans="1:13" ht="63" x14ac:dyDescent="0.25">
      <c r="A14" s="3">
        <v>44230</v>
      </c>
      <c r="B14" s="2" t="s">
        <v>143</v>
      </c>
      <c r="C14" s="2" t="s">
        <v>183</v>
      </c>
      <c r="D14" s="2" t="s">
        <v>143</v>
      </c>
      <c r="E14" s="2" t="s">
        <v>184</v>
      </c>
      <c r="F14" s="2" t="s">
        <v>46</v>
      </c>
      <c r="G14" s="2" t="s">
        <v>185</v>
      </c>
      <c r="H14" s="2" t="s">
        <v>186</v>
      </c>
      <c r="I14" s="2">
        <v>46</v>
      </c>
      <c r="J14" s="2" t="s">
        <v>170</v>
      </c>
      <c r="K14" s="2">
        <v>28</v>
      </c>
      <c r="L14" s="2">
        <v>38</v>
      </c>
      <c r="M14" s="2">
        <f>I14-L14</f>
        <v>8</v>
      </c>
    </row>
    <row r="15" spans="1:13" ht="63" x14ac:dyDescent="0.25">
      <c r="A15" s="3">
        <v>44230</v>
      </c>
      <c r="B15" s="2" t="s">
        <v>143</v>
      </c>
      <c r="C15" s="2" t="s">
        <v>187</v>
      </c>
      <c r="D15" s="2" t="s">
        <v>143</v>
      </c>
      <c r="E15" s="2" t="s">
        <v>188</v>
      </c>
      <c r="F15" s="2" t="s">
        <v>47</v>
      </c>
      <c r="G15" s="2" t="s">
        <v>185</v>
      </c>
      <c r="H15" s="2" t="s">
        <v>186</v>
      </c>
      <c r="I15" s="2">
        <v>44</v>
      </c>
      <c r="J15" s="2" t="s">
        <v>170</v>
      </c>
      <c r="K15" s="2">
        <v>27</v>
      </c>
      <c r="L15" s="2">
        <v>37</v>
      </c>
      <c r="M15" s="2">
        <f>I15-L15</f>
        <v>7</v>
      </c>
    </row>
    <row r="16" spans="1:13" ht="47.25" x14ac:dyDescent="0.25">
      <c r="A16" s="3">
        <v>44230</v>
      </c>
      <c r="B16" s="2" t="s">
        <v>143</v>
      </c>
      <c r="C16" s="2" t="s">
        <v>189</v>
      </c>
      <c r="D16" s="2" t="s">
        <v>143</v>
      </c>
      <c r="E16" s="2" t="s">
        <v>190</v>
      </c>
      <c r="F16" s="2" t="s">
        <v>50</v>
      </c>
      <c r="G16" s="2" t="s">
        <v>191</v>
      </c>
      <c r="H16" s="2" t="s">
        <v>192</v>
      </c>
      <c r="I16" s="2">
        <v>41</v>
      </c>
      <c r="J16" s="2" t="s">
        <v>193</v>
      </c>
      <c r="K16" s="2">
        <v>35</v>
      </c>
      <c r="L16" s="2">
        <v>40</v>
      </c>
      <c r="M16" s="2">
        <f>I16-L16</f>
        <v>1</v>
      </c>
    </row>
    <row r="17" spans="1:13" ht="47.25" x14ac:dyDescent="0.25">
      <c r="A17" s="3">
        <v>44230</v>
      </c>
      <c r="B17" s="2" t="s">
        <v>143</v>
      </c>
      <c r="C17" s="2" t="s">
        <v>194</v>
      </c>
      <c r="D17" s="2" t="s">
        <v>143</v>
      </c>
      <c r="E17" s="2" t="s">
        <v>195</v>
      </c>
      <c r="F17" s="2" t="s">
        <v>51</v>
      </c>
      <c r="G17" s="2" t="s">
        <v>191</v>
      </c>
      <c r="H17" s="2" t="s">
        <v>192</v>
      </c>
      <c r="I17" s="2">
        <v>48</v>
      </c>
      <c r="J17" s="2" t="s">
        <v>193</v>
      </c>
      <c r="K17" s="2">
        <v>29</v>
      </c>
      <c r="L17" s="2">
        <v>41</v>
      </c>
      <c r="M17" s="2">
        <f>I17-L17</f>
        <v>7</v>
      </c>
    </row>
    <row r="18" spans="1:13" ht="31.5" x14ac:dyDescent="0.25">
      <c r="A18" s="3">
        <v>44230</v>
      </c>
      <c r="B18" s="2" t="s">
        <v>143</v>
      </c>
      <c r="C18" s="2" t="s">
        <v>196</v>
      </c>
      <c r="D18" s="2" t="s">
        <v>143</v>
      </c>
      <c r="E18" s="2" t="s">
        <v>197</v>
      </c>
      <c r="F18" s="2" t="s">
        <v>52</v>
      </c>
      <c r="G18" s="2" t="s">
        <v>198</v>
      </c>
      <c r="H18" s="2" t="s">
        <v>199</v>
      </c>
      <c r="I18" s="2">
        <v>48</v>
      </c>
      <c r="J18" s="2" t="s">
        <v>148</v>
      </c>
      <c r="K18" s="2">
        <v>35</v>
      </c>
      <c r="L18" s="2">
        <v>28</v>
      </c>
      <c r="M18" s="2">
        <f>I18-L18</f>
        <v>20</v>
      </c>
    </row>
    <row r="19" spans="1:13" ht="31.5" x14ac:dyDescent="0.25">
      <c r="A19" s="3">
        <v>44230</v>
      </c>
      <c r="B19" s="2" t="s">
        <v>143</v>
      </c>
      <c r="C19" s="2" t="s">
        <v>200</v>
      </c>
      <c r="D19" s="2" t="s">
        <v>143</v>
      </c>
      <c r="E19" s="2" t="s">
        <v>201</v>
      </c>
      <c r="F19" s="2" t="s">
        <v>53</v>
      </c>
      <c r="G19" s="2" t="s">
        <v>198</v>
      </c>
      <c r="H19" s="2" t="s">
        <v>199</v>
      </c>
      <c r="I19" s="2">
        <v>46</v>
      </c>
      <c r="J19" s="2" t="s">
        <v>148</v>
      </c>
      <c r="K19" s="2">
        <v>30</v>
      </c>
      <c r="L19" s="2">
        <v>27</v>
      </c>
      <c r="M19" s="2">
        <f>I19-L19</f>
        <v>19</v>
      </c>
    </row>
    <row r="20" spans="1:13" ht="31.5" x14ac:dyDescent="0.25">
      <c r="A20" s="3">
        <v>44230</v>
      </c>
      <c r="B20" s="2" t="s">
        <v>143</v>
      </c>
      <c r="C20" s="2" t="s">
        <v>202</v>
      </c>
      <c r="D20" s="2" t="s">
        <v>143</v>
      </c>
      <c r="E20" s="2" t="s">
        <v>203</v>
      </c>
      <c r="F20" s="2" t="s">
        <v>56</v>
      </c>
      <c r="G20" s="2" t="s">
        <v>204</v>
      </c>
      <c r="H20" s="2" t="s">
        <v>205</v>
      </c>
      <c r="I20" s="2">
        <v>46</v>
      </c>
      <c r="J20" s="2" t="s">
        <v>153</v>
      </c>
      <c r="K20" s="2">
        <v>11</v>
      </c>
      <c r="L20" s="2">
        <v>14</v>
      </c>
      <c r="M20" s="2">
        <f>I20-L20</f>
        <v>32</v>
      </c>
    </row>
    <row r="21" spans="1:13" ht="31.5" x14ac:dyDescent="0.25">
      <c r="A21" s="3">
        <v>44230</v>
      </c>
      <c r="B21" s="2" t="s">
        <v>143</v>
      </c>
      <c r="C21" s="2" t="s">
        <v>206</v>
      </c>
      <c r="D21" s="2" t="s">
        <v>143</v>
      </c>
      <c r="E21" s="2" t="s">
        <v>207</v>
      </c>
      <c r="F21" s="2" t="s">
        <v>57</v>
      </c>
      <c r="G21" s="2" t="s">
        <v>204</v>
      </c>
      <c r="H21" s="2" t="s">
        <v>205</v>
      </c>
      <c r="I21" s="2">
        <v>44</v>
      </c>
      <c r="J21" s="2" t="s">
        <v>153</v>
      </c>
      <c r="K21" s="2">
        <v>14</v>
      </c>
      <c r="L21" s="2">
        <v>18</v>
      </c>
      <c r="M21" s="2">
        <f>I21-L21</f>
        <v>26</v>
      </c>
    </row>
    <row r="22" spans="1:13" ht="47.25" x14ac:dyDescent="0.25">
      <c r="A22" s="3">
        <v>44230</v>
      </c>
      <c r="B22" s="2" t="s">
        <v>143</v>
      </c>
      <c r="C22" s="2" t="s">
        <v>208</v>
      </c>
      <c r="D22" s="2" t="s">
        <v>143</v>
      </c>
      <c r="E22" s="2" t="s">
        <v>209</v>
      </c>
      <c r="F22" s="2" t="s">
        <v>58</v>
      </c>
      <c r="G22" s="2" t="s">
        <v>210</v>
      </c>
      <c r="H22" s="2" t="s">
        <v>211</v>
      </c>
      <c r="I22" s="2">
        <v>47</v>
      </c>
      <c r="J22" s="2" t="s">
        <v>148</v>
      </c>
      <c r="K22" s="2">
        <v>68</v>
      </c>
      <c r="L22" s="2">
        <v>40</v>
      </c>
      <c r="M22" s="2">
        <f>I22-L22</f>
        <v>7</v>
      </c>
    </row>
    <row r="23" spans="1:13" ht="47.25" x14ac:dyDescent="0.25">
      <c r="A23" s="3">
        <v>44230</v>
      </c>
      <c r="B23" s="2" t="s">
        <v>143</v>
      </c>
      <c r="C23" s="2" t="s">
        <v>212</v>
      </c>
      <c r="D23" s="2" t="s">
        <v>143</v>
      </c>
      <c r="E23" s="2" t="s">
        <v>213</v>
      </c>
      <c r="F23" s="2" t="s">
        <v>59</v>
      </c>
      <c r="G23" s="2" t="s">
        <v>210</v>
      </c>
      <c r="H23" s="2" t="s">
        <v>211</v>
      </c>
      <c r="I23" s="2">
        <v>42</v>
      </c>
      <c r="J23" s="2" t="s">
        <v>148</v>
      </c>
      <c r="K23" s="2">
        <v>69</v>
      </c>
      <c r="L23" s="2">
        <v>42</v>
      </c>
      <c r="M23" s="2">
        <f>I23-L23</f>
        <v>0</v>
      </c>
    </row>
    <row r="24" spans="1:13" ht="31.5" x14ac:dyDescent="0.25">
      <c r="A24" s="3">
        <v>44230</v>
      </c>
      <c r="B24" s="2" t="s">
        <v>143</v>
      </c>
      <c r="C24" s="2" t="s">
        <v>214</v>
      </c>
      <c r="D24" s="2" t="s">
        <v>143</v>
      </c>
      <c r="E24" s="2" t="s">
        <v>215</v>
      </c>
      <c r="F24" s="2" t="s">
        <v>60</v>
      </c>
      <c r="G24" s="2" t="s">
        <v>216</v>
      </c>
      <c r="H24" s="2" t="s">
        <v>147</v>
      </c>
      <c r="I24" s="2">
        <v>52</v>
      </c>
      <c r="J24" s="2" t="s">
        <v>148</v>
      </c>
      <c r="K24" s="2">
        <v>47</v>
      </c>
      <c r="L24" s="2">
        <v>25</v>
      </c>
      <c r="M24" s="2">
        <f>I24-L24</f>
        <v>27</v>
      </c>
    </row>
    <row r="25" spans="1:13" ht="31.5" x14ac:dyDescent="0.25">
      <c r="A25" s="3">
        <v>44230</v>
      </c>
      <c r="B25" s="2" t="s">
        <v>143</v>
      </c>
      <c r="C25" s="2" t="s">
        <v>217</v>
      </c>
      <c r="D25" s="2" t="s">
        <v>143</v>
      </c>
      <c r="E25" s="2" t="s">
        <v>218</v>
      </c>
      <c r="F25" s="2" t="s">
        <v>61</v>
      </c>
      <c r="G25" s="2" t="s">
        <v>216</v>
      </c>
      <c r="H25" s="2" t="s">
        <v>147</v>
      </c>
      <c r="I25" s="2">
        <v>42</v>
      </c>
      <c r="J25" s="2" t="s">
        <v>148</v>
      </c>
      <c r="K25" s="2">
        <v>38</v>
      </c>
      <c r="L25" s="2">
        <v>26</v>
      </c>
      <c r="M25" s="2">
        <f>I25-L25</f>
        <v>16</v>
      </c>
    </row>
    <row r="26" spans="1:13" ht="31.5" x14ac:dyDescent="0.25">
      <c r="A26" s="3">
        <v>44230</v>
      </c>
      <c r="B26" s="2" t="s">
        <v>143</v>
      </c>
      <c r="C26" s="2" t="s">
        <v>219</v>
      </c>
      <c r="D26" s="2" t="s">
        <v>143</v>
      </c>
      <c r="E26" s="2" t="s">
        <v>220</v>
      </c>
      <c r="F26" s="2" t="s">
        <v>23</v>
      </c>
      <c r="G26" s="2" t="s">
        <v>156</v>
      </c>
      <c r="H26" s="2" t="s">
        <v>157</v>
      </c>
      <c r="I26" s="2">
        <v>36</v>
      </c>
      <c r="J26" s="2" t="s">
        <v>148</v>
      </c>
      <c r="K26" s="2">
        <v>30</v>
      </c>
      <c r="L26" s="2">
        <v>59</v>
      </c>
      <c r="M26" s="2">
        <f>I26-L26</f>
        <v>-23</v>
      </c>
    </row>
    <row r="27" spans="1:13" ht="31.5" x14ac:dyDescent="0.25">
      <c r="A27" s="3">
        <v>44230</v>
      </c>
      <c r="B27" s="2" t="s">
        <v>143</v>
      </c>
      <c r="C27" s="2" t="s">
        <v>221</v>
      </c>
      <c r="D27" s="2" t="s">
        <v>143</v>
      </c>
      <c r="E27" s="2" t="s">
        <v>222</v>
      </c>
      <c r="F27" s="2" t="s">
        <v>24</v>
      </c>
      <c r="G27" s="2" t="s">
        <v>156</v>
      </c>
      <c r="H27" s="2" t="s">
        <v>157</v>
      </c>
      <c r="I27" s="2">
        <v>50</v>
      </c>
      <c r="J27" s="2" t="s">
        <v>148</v>
      </c>
      <c r="K27" s="2">
        <v>28</v>
      </c>
      <c r="L27" s="2">
        <v>57</v>
      </c>
      <c r="M27" s="2">
        <f>I27-L27</f>
        <v>-7</v>
      </c>
    </row>
    <row r="28" spans="1:13" ht="31.5" x14ac:dyDescent="0.25">
      <c r="A28" s="3">
        <v>44230</v>
      </c>
      <c r="B28" s="2" t="s">
        <v>143</v>
      </c>
      <c r="C28" s="2" t="s">
        <v>223</v>
      </c>
      <c r="D28" s="2" t="s">
        <v>143</v>
      </c>
      <c r="E28" s="2" t="s">
        <v>224</v>
      </c>
      <c r="F28" s="2" t="s">
        <v>25</v>
      </c>
      <c r="G28" s="2" t="s">
        <v>225</v>
      </c>
      <c r="H28" s="2" t="s">
        <v>226</v>
      </c>
      <c r="I28" s="2">
        <v>44</v>
      </c>
      <c r="J28" s="2" t="s">
        <v>148</v>
      </c>
      <c r="K28" s="2">
        <v>19</v>
      </c>
      <c r="L28" s="2">
        <v>19</v>
      </c>
      <c r="M28" s="2">
        <f>I28-L28</f>
        <v>25</v>
      </c>
    </row>
    <row r="29" spans="1:13" ht="31.5" x14ac:dyDescent="0.25">
      <c r="A29" s="3">
        <v>44230</v>
      </c>
      <c r="B29" s="2" t="s">
        <v>143</v>
      </c>
      <c r="C29" s="2" t="s">
        <v>227</v>
      </c>
      <c r="D29" s="2" t="s">
        <v>143</v>
      </c>
      <c r="E29" s="2" t="s">
        <v>228</v>
      </c>
      <c r="F29" s="2" t="s">
        <v>26</v>
      </c>
      <c r="G29" s="2" t="s">
        <v>225</v>
      </c>
      <c r="H29" s="2" t="s">
        <v>226</v>
      </c>
      <c r="I29" s="2">
        <v>41</v>
      </c>
      <c r="J29" s="2" t="s">
        <v>148</v>
      </c>
      <c r="K29" s="2">
        <v>17</v>
      </c>
      <c r="L29" s="2">
        <v>17</v>
      </c>
      <c r="M29" s="2">
        <f>I29-L29</f>
        <v>24</v>
      </c>
    </row>
    <row r="30" spans="1:13" ht="31.5" x14ac:dyDescent="0.25">
      <c r="A30" s="3">
        <v>44230</v>
      </c>
      <c r="B30" s="2" t="s">
        <v>143</v>
      </c>
      <c r="C30" s="2" t="s">
        <v>229</v>
      </c>
      <c r="D30" s="2" t="s">
        <v>143</v>
      </c>
      <c r="E30" s="2" t="s">
        <v>230</v>
      </c>
      <c r="F30" s="2" t="s">
        <v>27</v>
      </c>
      <c r="G30" s="2" t="s">
        <v>231</v>
      </c>
      <c r="H30" s="2" t="s">
        <v>232</v>
      </c>
      <c r="I30" s="2">
        <v>34</v>
      </c>
      <c r="J30" s="2" t="s">
        <v>148</v>
      </c>
      <c r="K30" s="2">
        <v>21</v>
      </c>
      <c r="L30" s="2">
        <v>23</v>
      </c>
      <c r="M30" s="2">
        <f>I30-L30</f>
        <v>11</v>
      </c>
    </row>
    <row r="31" spans="1:13" ht="31.5" x14ac:dyDescent="0.25">
      <c r="A31" s="3">
        <v>44230</v>
      </c>
      <c r="B31" s="2" t="s">
        <v>143</v>
      </c>
      <c r="C31" s="2" t="s">
        <v>233</v>
      </c>
      <c r="D31" s="2" t="s">
        <v>143</v>
      </c>
      <c r="E31" s="2" t="s">
        <v>234</v>
      </c>
      <c r="F31" s="2" t="s">
        <v>28</v>
      </c>
      <c r="G31" s="2" t="s">
        <v>231</v>
      </c>
      <c r="H31" s="2" t="s">
        <v>232</v>
      </c>
      <c r="I31" s="2">
        <v>37</v>
      </c>
      <c r="J31" s="2" t="s">
        <v>148</v>
      </c>
      <c r="K31" s="2">
        <v>18</v>
      </c>
      <c r="L31" s="2">
        <v>21</v>
      </c>
      <c r="M31" s="2">
        <f>I31-L31</f>
        <v>16</v>
      </c>
    </row>
    <row r="32" spans="1:13" ht="31.5" x14ac:dyDescent="0.25">
      <c r="A32" s="3">
        <v>44230</v>
      </c>
      <c r="B32" s="2" t="s">
        <v>143</v>
      </c>
      <c r="C32" s="2" t="s">
        <v>235</v>
      </c>
      <c r="D32" s="2" t="s">
        <v>143</v>
      </c>
      <c r="E32" s="2" t="s">
        <v>236</v>
      </c>
      <c r="F32" s="2" t="s">
        <v>40</v>
      </c>
      <c r="G32" s="2" t="s">
        <v>237</v>
      </c>
      <c r="H32" s="2" t="s">
        <v>157</v>
      </c>
      <c r="I32" s="2">
        <v>92</v>
      </c>
      <c r="J32" s="2" t="s">
        <v>148</v>
      </c>
      <c r="K32" s="2">
        <v>68</v>
      </c>
      <c r="L32" s="2">
        <v>44</v>
      </c>
      <c r="M32" s="2">
        <f>I32-L32</f>
        <v>48</v>
      </c>
    </row>
    <row r="33" spans="1:13" ht="31.5" x14ac:dyDescent="0.25">
      <c r="A33" s="3">
        <v>44230</v>
      </c>
      <c r="B33" s="2" t="s">
        <v>143</v>
      </c>
      <c r="C33" s="2" t="s">
        <v>238</v>
      </c>
      <c r="D33" s="2" t="s">
        <v>143</v>
      </c>
      <c r="E33" s="2" t="s">
        <v>239</v>
      </c>
      <c r="F33" s="2" t="s">
        <v>41</v>
      </c>
      <c r="G33" s="2" t="s">
        <v>240</v>
      </c>
      <c r="H33" s="2" t="s">
        <v>205</v>
      </c>
      <c r="I33" s="2">
        <v>84</v>
      </c>
      <c r="J33" s="2" t="s">
        <v>241</v>
      </c>
      <c r="K33" s="2">
        <v>52</v>
      </c>
      <c r="L33" s="2">
        <v>52</v>
      </c>
      <c r="M33" s="2">
        <f>I33-L33</f>
        <v>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nd2_Click">
                <anchor moveWithCells="1" sizeWithCells="1">
                  <from>
                    <xdr:col>13</xdr:col>
                    <xdr:colOff>361950</xdr:colOff>
                    <xdr:row>0</xdr:row>
                    <xdr:rowOff>133350</xdr:rowOff>
                  </from>
                  <to>
                    <xdr:col>15</xdr:col>
                    <xdr:colOff>57150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Home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(SSB-129) Stan.Chen</cp:lastModifiedBy>
  <dcterms:created xsi:type="dcterms:W3CDTF">2015-06-05T18:19:34Z</dcterms:created>
  <dcterms:modified xsi:type="dcterms:W3CDTF">2021-04-17T04:13:02Z</dcterms:modified>
</cp:coreProperties>
</file>